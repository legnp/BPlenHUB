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&quot;R$&quot;\ #,##0.00"/>
    <numFmt numFmtId="165" formatCode="&quot;R$ &quot;\ #,##0.00"/>
    <numFmt numFmtId="166" formatCode="0.0"/>
    <numFmt numFmtId="167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E7"/>
  <sheetViews>
    <sheetView workbookViewId="0" rightToLeft="0"/>
  </sheetViews>
  <sheetData>
    <row r="3">
      <c r="B3" t="str">
        <v>Item</v>
      </c>
      <c r="C3" t="str">
        <v>Custo Total</v>
      </c>
      <c r="D3" t="str">
        <v>Custo Franquia (Por cliente)</v>
      </c>
      <c r="E3" t="str">
        <v>Franquia</v>
      </c>
    </row>
    <row r="4">
      <c r="B4" t="str">
        <v>Custos médios administrativos da empresa (Anual)</v>
      </c>
      <c r="C4">
        <v>24000</v>
      </c>
      <c r="D4">
        <f>C4/E4</f>
        <v>80</v>
      </c>
      <c r="E4">
        <v>300</v>
      </c>
    </row>
    <row r="5">
      <c r="B5" t="str">
        <v>Taxa média de checkout Cartão (Crédito e Débito) - sob valor do serviço</v>
      </c>
      <c r="C5">
        <v>0.05</v>
      </c>
      <c r="D5" t="str">
        <v>não se aplica</v>
      </c>
    </row>
    <row r="6">
      <c r="B6" t="str">
        <v>Taxa média de checkout Pix - sob valor do serviço</v>
      </c>
      <c r="C6">
        <v>0.0099</v>
      </c>
      <c r="D6" t="str">
        <v>não se aplica</v>
      </c>
    </row>
    <row r="7">
      <c r="B7" t="str">
        <v>Impostos sobre valor total de serviço - após inclusão de taxas de checkout</v>
      </c>
      <c r="C7">
        <v>0.08</v>
      </c>
      <c r="D7" t="str">
        <v>não se aplica</v>
      </c>
    </row>
  </sheetData>
  <pageMargins left="0.511811024" right="0.511811024" top="0.787401575" bottom="0.787401575" header="0.31496062" footer="0.31496062"/>
  <ignoredErrors>
    <ignoredError numberStoredAsText="1" sqref="B1:E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E27"/>
  <sheetViews>
    <sheetView workbookViewId="0" rightToLeft="0"/>
  </sheetViews>
  <sheetData>
    <row r="2">
      <c r="B2" t="str">
        <v>Histórico: Mar26 a Jun26</v>
      </c>
    </row>
    <row r="3">
      <c r="B3" t="str">
        <v>Item / Serviço</v>
      </c>
      <c r="C3" t="str">
        <v>Custo Total Período</v>
      </c>
      <c r="D3" t="str">
        <v>Base de Cálculo / Detalhamento</v>
      </c>
    </row>
    <row r="4">
      <c r="B4" t="str">
        <v>Honorário Dev (Histórico)</v>
      </c>
      <c r="C4">
        <v>184800</v>
      </c>
      <c r="D4" t="str">
        <v>R$ Hora: 350,00 | Horas dedicadas (Mar-26 a Jun-26): 528h</v>
      </c>
    </row>
    <row r="5">
      <c r="B5" t="str">
        <v>Google Workspace (Setup)</v>
      </c>
      <c r="C5">
        <v>567.2</v>
      </c>
      <c r="D5" t="str">
        <v>Proporcional a 4 meses de uso de homologação</v>
      </c>
    </row>
    <row r="6">
      <c r="B6" t="str">
        <v>Google Cloud (Setup/Testes)</v>
      </c>
      <c r="C6">
        <v>0</v>
      </c>
      <c r="D6" t="str">
        <v>Consumido 100% dentro do bônus promocional de R$ 1.700,00</v>
      </c>
    </row>
    <row r="7">
      <c r="B7" t="str">
        <v>TOTAL INVESTIDO</v>
      </c>
      <c r="C7">
        <v>21567.2</v>
      </c>
      <c r="D7" t="str">
        <v>Investimento total para colocar a plataforma em produção</v>
      </c>
    </row>
    <row r="10">
      <c r="B10" t="str">
        <v>Projeção: Próx 12 meses</v>
      </c>
    </row>
    <row r="11">
      <c r="B11" t="str">
        <v>Item / Serviço</v>
      </c>
      <c r="C11" t="str">
        <v>Custo Mensal (Proj.)</v>
      </c>
      <c r="D11" t="str">
        <v>Custo Anual (Proj.)</v>
      </c>
      <c r="E11" t="str">
        <v>Detalhamento / Objetivo</v>
      </c>
    </row>
    <row r="12">
      <c r="B12" t="str">
        <v>Google Workspace</v>
      </c>
      <c r="C12">
        <v>141.8</v>
      </c>
      <c r="D12">
        <v>1701.6</v>
      </c>
      <c r="E12" t="str">
        <v>E-mails, Drive e agenda corporativos</v>
      </c>
    </row>
    <row r="13">
      <c r="B13" t="str">
        <v>Vercel Pro</v>
      </c>
      <c r="C13">
        <v>90</v>
      </c>
      <c r="D13">
        <v>1080</v>
      </c>
      <c r="E13" t="str">
        <v>Servidor do site com suporte a IA</v>
      </c>
    </row>
    <row r="14">
      <c r="B14" t="str">
        <v>Notion Business</v>
      </c>
      <c r="C14">
        <v>90</v>
      </c>
      <c r="D14">
        <v>1080</v>
      </c>
      <c r="E14" t="str">
        <v>Banco de dados de tarefas e rotinas</v>
      </c>
    </row>
    <row r="15">
      <c r="B15" t="str">
        <v>Resend Pro (E-mails)</v>
      </c>
      <c r="C15">
        <v>90</v>
      </c>
      <c r="D15">
        <v>1080</v>
      </c>
      <c r="E15" t="str">
        <v>Disparo de e-mails automáticos (Novo)</v>
      </c>
    </row>
    <row r="16">
      <c r="B16" t="str">
        <v>Google Cloud (GCP/IA)</v>
      </c>
      <c r="C16">
        <v>100</v>
      </c>
      <c r="D16">
        <v>1200</v>
      </c>
      <c r="E16" t="str">
        <v>Banco Firestore + Tokens de IA (Gemini)</v>
      </c>
    </row>
    <row r="17">
      <c r="B17" t="str">
        <v>Domínio (.com.br)</v>
      </c>
      <c r="C17">
        <v>3.33</v>
      </c>
      <c r="D17">
        <v>40</v>
      </c>
      <c r="E17" t="str">
        <v>Registro anual no Registro.br (Novo)</v>
      </c>
    </row>
    <row r="18">
      <c r="B18" t="str">
        <v>Cloudflare</v>
      </c>
      <c r="C18">
        <v>0</v>
      </c>
      <c r="D18">
        <v>0</v>
      </c>
      <c r="E18" t="str">
        <v>Segurança e proteção DDoS (Grátis)</v>
      </c>
    </row>
    <row r="19">
      <c r="B19" t="str">
        <v>Mercado Pago Gateway</v>
      </c>
      <c r="C19">
        <v>0</v>
      </c>
      <c r="D19">
        <v>0</v>
      </c>
      <c r="E19" t="str">
        <v>Taxa variável de 3.99% a 4.99% por venda</v>
      </c>
    </row>
    <row r="20">
      <c r="B20" t="str">
        <v>Dev On-Demand</v>
      </c>
      <c r="C20">
        <v>7000</v>
      </c>
      <c r="D20">
        <f>C20*12</f>
        <v>84000</v>
      </c>
    </row>
    <row r="21">
      <c r="B21" t="str">
        <v>TOTAL PROJETADO</v>
      </c>
      <c r="C21">
        <f>SUM(C12:C20)</f>
        <v>7515.13</v>
      </c>
      <c r="D21">
        <f>SUM(D12:D20)</f>
        <v>90181.6</v>
      </c>
    </row>
    <row r="25">
      <c r="B25" t="str">
        <v>INVESTIDO + PROJETADO</v>
      </c>
      <c r="C25">
        <f>SUM(C7+C21)</f>
        <v>29082.33</v>
      </c>
    </row>
  </sheetData>
  <pageMargins left="0.511811024" right="0.511811024" top="0.787401575" bottom="0.787401575" header="0.31496062" footer="0.31496062"/>
  <ignoredErrors>
    <ignoredError numberStoredAsText="1" sqref="B1:E2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B4:B5"/>
  <sheetViews>
    <sheetView workbookViewId="0" rightToLeft="0"/>
  </sheetViews>
  <sheetData>
    <row r="4">
      <c r="B4" t="str">
        <v>Metodologia Coach IBC (Investimento)</v>
      </c>
    </row>
    <row r="5">
      <c r="B5">
        <v>6000</v>
      </c>
    </row>
  </sheetData>
  <pageMargins left="0.511811024" right="0.511811024" top="0.787401575" bottom="0.787401575" header="0.31496062" footer="0.31496062"/>
  <ignoredErrors>
    <ignoredError numberStoredAsText="1" sqref="B4:B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34"/>
  <sheetViews>
    <sheetView workbookViewId="0" rightToLeft="0"/>
  </sheetViews>
  <sheetData>
    <row r="1">
      <c r="A1" t="str">
        <v>Item</v>
      </c>
      <c r="B1" t="str">
        <v>Minutos Totais</v>
      </c>
      <c r="C1" t="str">
        <v>Custo</v>
      </c>
      <c r="D1" t="str">
        <v>Custo por Minuto</v>
      </c>
      <c r="E1" t="str">
        <v>Descrição</v>
      </c>
    </row>
    <row r="2">
      <c r="A2" t="str">
        <v>Honorário</v>
      </c>
      <c r="B2">
        <v>60</v>
      </c>
      <c r="C2">
        <v>350</v>
      </c>
      <c r="D2">
        <f>C2/B2</f>
        <v>5.833333333333333</v>
      </c>
      <c r="E2" t="str">
        <v>Tempo dedicado dos consultores</v>
      </c>
    </row>
    <row r="4">
      <c r="A4" t="str">
        <v>Item</v>
      </c>
      <c r="B4" t="str">
        <v>Acessos Totais</v>
      </c>
      <c r="C4" t="str">
        <v>Custo</v>
      </c>
      <c r="D4" t="str">
        <v>Custo por Acesso</v>
      </c>
      <c r="E4" t="str">
        <v>Descrição</v>
      </c>
    </row>
    <row r="5">
      <c r="A5" t="str">
        <v>Área Membro</v>
      </c>
      <c r="B5">
        <v>1</v>
      </c>
      <c r="C5">
        <v>15</v>
      </c>
      <c r="D5">
        <f>C5/B5</f>
        <v>15</v>
      </c>
      <c r="E5" t="str">
        <v>Acesso ao dashboard de assessments + agenda bplen + acompanhamento de jornada</v>
      </c>
    </row>
    <row r="6">
      <c r="A6" t="str">
        <v>Área Membro | GDC Dashboard</v>
      </c>
      <c r="B6">
        <v>1</v>
      </c>
      <c r="C6">
        <v>15</v>
      </c>
      <c r="D6">
        <f>C6/B6</f>
        <v>15</v>
      </c>
      <c r="E6" t="str">
        <v>Acesso ao modulo de gestão e desenvolvimento de carreira com recursos de acompanhamento detalhado de métricas e documentação de progresso + gestão de onbjetivos e metas + backlog list</v>
      </c>
    </row>
    <row r="8">
      <c r="A8" t="str">
        <v>Item</v>
      </c>
      <c r="B8" t="str">
        <v>Sistema Total</v>
      </c>
      <c r="C8" t="str">
        <v>Custo</v>
      </c>
      <c r="D8" t="str">
        <v>Custo por Sistema</v>
      </c>
      <c r="E8" t="str">
        <v>Descrição</v>
      </c>
    </row>
    <row r="9">
      <c r="A9" t="str">
        <v>BPlen HUB</v>
      </c>
      <c r="B9">
        <v>1</v>
      </c>
      <c r="C9">
        <v>29082.33</v>
      </c>
      <c r="D9">
        <f>C9/B9</f>
        <v>29082.33</v>
      </c>
      <c r="E9" t="str">
        <v>Ecossistema BPlen HUB | Area logada que oferece diversos recursos para consumo dos serviços Bplen e tornar a experiencia do cliente mais fluida e confiável aliado a tecnologia.</v>
      </c>
    </row>
    <row r="10">
      <c r="A10" t="str">
        <v>MentoCoach</v>
      </c>
      <c r="B10">
        <v>1</v>
      </c>
      <c r="C10">
        <v>6000</v>
      </c>
      <c r="D10">
        <f>C10/B10</f>
        <v>6000</v>
      </c>
      <c r="E10" t="str">
        <v>Ferramentas e Métodologia de Coching e Mentoria | Acesso ao modulo de assessments, exercícios e tarefas especificos para coaching e mentoria</v>
      </c>
    </row>
    <row r="12">
      <c r="A12" t="str">
        <v>Item</v>
      </c>
      <c r="B12" t="str">
        <v>Relatórios Totais</v>
      </c>
      <c r="C12" t="str">
        <v>Custo</v>
      </c>
      <c r="D12" t="str">
        <v>Custo por Relatório</v>
      </c>
      <c r="E12" t="str">
        <v>Descrição</v>
      </c>
    </row>
    <row r="13">
      <c r="A13" t="str">
        <v>Relatório DISC</v>
      </c>
      <c r="B13">
        <v>1</v>
      </c>
      <c r="C13">
        <v>160</v>
      </c>
      <c r="D13">
        <f>C13/B13</f>
        <v>160</v>
      </c>
      <c r="E13" t="str">
        <v>Relatório com resultados da avaliação DISC</v>
      </c>
    </row>
    <row r="14">
      <c r="A14" t="str">
        <v>Relatório de Análise Comportamental</v>
      </c>
      <c r="B14">
        <v>1</v>
      </c>
      <c r="C14">
        <v>160</v>
      </c>
      <c r="D14">
        <f>C14/B14</f>
        <v>160</v>
      </c>
      <c r="E14" t="str">
        <v>Relatório da análise e insights do analista referente aos assessments comportamentais cruzados com contexto situacionais do cliente.</v>
      </c>
    </row>
    <row r="15">
      <c r="A15" t="str">
        <v>Relatório PDI</v>
      </c>
      <c r="B15">
        <v>1</v>
      </c>
      <c r="C15">
        <v>150</v>
      </c>
      <c r="D15">
        <f>C15/B15</f>
        <v>150</v>
      </c>
      <c r="E15" t="str">
        <v>Relatório da análise e insights do analista referente ao plano de carreira cruzado com assessments comportamentais e contexto situacionais do cliente.</v>
      </c>
    </row>
    <row r="17">
      <c r="A17" t="str">
        <v>Item</v>
      </c>
      <c r="B17" t="str">
        <v>Kits Totais</v>
      </c>
      <c r="C17" t="str">
        <v>Custo</v>
      </c>
      <c r="D17" t="str">
        <v>Custo por Kit</v>
      </c>
      <c r="E17" t="str">
        <v>Descrição</v>
      </c>
    </row>
    <row r="18">
      <c r="A18" t="str">
        <v>KIT BPlen</v>
      </c>
      <c r="B18">
        <v>1</v>
      </c>
      <c r="C18">
        <v>150</v>
      </c>
      <c r="D18">
        <f>C18/B18</f>
        <v>150</v>
      </c>
      <c r="E18" t="str">
        <v>Itens personalizados da Bplen (Caderno, Caneta e outros necessários para complemento prático de atividades e tarefas dos clientes)</v>
      </c>
    </row>
    <row r="20">
      <c r="A20" t="str">
        <v>Item</v>
      </c>
      <c r="B20" t="str">
        <v>Taxa</v>
      </c>
      <c r="C20" t="str">
        <v>-</v>
      </c>
      <c r="D20" t="str">
        <v>-</v>
      </c>
      <c r="E20" t="str">
        <v>Descrição</v>
      </c>
    </row>
    <row r="21">
      <c r="A21" t="str">
        <v>Taxa Checkout</v>
      </c>
      <c r="B21">
        <v>0.05</v>
      </c>
      <c r="C21" t="str">
        <v>não se aplica</v>
      </c>
      <c r="D21" t="str">
        <v>não se aplica</v>
      </c>
      <c r="E21" t="str">
        <v>Taxa de pagamento com cartão de debito ou crédito</v>
      </c>
    </row>
    <row r="22">
      <c r="A22" t="str">
        <v>Taxa Imposto</v>
      </c>
      <c r="B22">
        <v>0.08</v>
      </c>
      <c r="C22" t="str">
        <v>não se aplica</v>
      </c>
      <c r="D22" t="str">
        <v>não se aplica</v>
      </c>
      <c r="E22" t="str">
        <v>Taxa de impostos sob custo bruto do serviço</v>
      </c>
    </row>
    <row r="24">
      <c r="A24" t="str">
        <v>Item</v>
      </c>
      <c r="B24" t="str">
        <v>e-book Totais</v>
      </c>
      <c r="C24" t="str">
        <v>Custo</v>
      </c>
      <c r="D24" t="str">
        <v>Custo por e-book</v>
      </c>
      <c r="E24" t="str">
        <v>Descrição</v>
      </c>
    </row>
    <row r="25">
      <c r="A25" t="str">
        <v>GDC e-book</v>
      </c>
      <c r="B25">
        <v>1</v>
      </c>
      <c r="C25">
        <v>5000</v>
      </c>
      <c r="D25">
        <f>C25/B25</f>
        <v>5000</v>
      </c>
      <c r="E25" t="str">
        <v>Material pedagógico para condução de orientação educacional sobre Gestão e Desenvolvimento de Carreira.</v>
      </c>
    </row>
    <row r="26">
      <c r="A26" t="str">
        <v>Posicionamento de Carreira e-book</v>
      </c>
      <c r="B26">
        <v>1</v>
      </c>
      <c r="C26">
        <v>5000</v>
      </c>
      <c r="D26">
        <f>C26/B26</f>
        <v>5000</v>
      </c>
      <c r="E26" t="str">
        <v>Material pedagógico para condução de orientação educacional sobre Posicionamento de Carreira.</v>
      </c>
    </row>
    <row r="28">
      <c r="A28" t="str">
        <v>Item</v>
      </c>
      <c r="B28" t="str">
        <v>franquia Totais</v>
      </c>
      <c r="C28" t="str">
        <v>Custo</v>
      </c>
      <c r="D28" t="str">
        <v>Custo por e-book</v>
      </c>
      <c r="E28" t="str">
        <v>Descrição</v>
      </c>
    </row>
    <row r="29">
      <c r="A29" t="str">
        <v>GDC e-book - franquia</v>
      </c>
      <c r="B29">
        <v>25</v>
      </c>
      <c r="C29">
        <v>5000</v>
      </c>
      <c r="D29">
        <f>C29/B29</f>
        <v>200</v>
      </c>
      <c r="E29" t="str">
        <v>Disponibilização do item ou serviço dividindo seu custo total por "franquias" (número de clientes)</v>
      </c>
    </row>
    <row r="30">
      <c r="A30" t="str">
        <v>Honorário - Franquia</v>
      </c>
      <c r="B30">
        <v>10</v>
      </c>
      <c r="C30">
        <f>C2</f>
        <v>350</v>
      </c>
      <c r="D30">
        <f>C30/B30</f>
        <v>35</v>
      </c>
      <c r="E30" t="str">
        <v>Disponibilização do item ou serviço dividindo seu custo total por "franquias" (número de clientes)</v>
      </c>
    </row>
    <row r="31">
      <c r="A31" t="str">
        <v>Posicionamento de Carreira e-book - franquia</v>
      </c>
      <c r="B31">
        <v>100</v>
      </c>
      <c r="C31">
        <f>C26</f>
        <v>5000</v>
      </c>
      <c r="D31">
        <f>C31/B31</f>
        <v>50</v>
      </c>
      <c r="E31" t="str">
        <v>Disponibilização do item ou serviço dividindo seu custo total por "franquias" (número de clientes)</v>
      </c>
    </row>
    <row r="32">
      <c r="A32" t="str">
        <v>BPlen HUB - franquia</v>
      </c>
      <c r="B32">
        <v>1000</v>
      </c>
      <c r="C32">
        <f>C9</f>
        <v>29082.33</v>
      </c>
      <c r="D32">
        <f>C32/B32</f>
        <v>29.082330000000002</v>
      </c>
      <c r="E32" t="str">
        <v>Disponibilização do item ou serviço dividindo seu custo total por "franquias" (número de clientes)</v>
      </c>
    </row>
    <row r="33">
      <c r="A33" t="str">
        <v>Área Membro | MentoCoach Dashboard - franquia</v>
      </c>
      <c r="B33">
        <v>20</v>
      </c>
      <c r="C33">
        <f>C10</f>
        <v>6000</v>
      </c>
      <c r="D33">
        <f>C33/B33</f>
        <v>300</v>
      </c>
      <c r="E33" t="str">
        <v>Disponibilização do item ou serviço dividindo seu custo total por "franquias" (número de clientes)</v>
      </c>
    </row>
    <row r="34">
      <c r="A34" t="str">
        <v>Custos Administrativos - franquia</v>
      </c>
      <c r="B34">
        <v>300</v>
      </c>
      <c r="C34">
        <f>'Custos gerais'!C4</f>
        <v>24000</v>
      </c>
      <c r="D34">
        <f>C34/B34</f>
        <v>80</v>
      </c>
      <c r="E34" t="str">
        <v>Disponibilização do item ou serviço dividindo seu custo total por "franquias" (número de clientes)</v>
      </c>
    </row>
  </sheetData>
  <pageMargins left="0.511811024" right="0.511811024" top="0.787401575" bottom="0.787401575" header="0.31496062" footer="0.31496062"/>
  <ignoredErrors>
    <ignoredError numberStoredAsText="1" sqref="A1:E3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1:F199"/>
  <sheetViews>
    <sheetView workbookViewId="0" rightToLeft="0"/>
  </sheetViews>
  <sheetData>
    <row r="1">
      <c r="C1" t="str">
        <v>Margem:</v>
      </c>
      <c r="D1">
        <v>0.2</v>
      </c>
    </row>
    <row r="3">
      <c r="C3" t="str">
        <v>1 to 1</v>
      </c>
    </row>
    <row r="4">
      <c r="C4" t="str">
        <v>Item</v>
      </c>
      <c r="D4" t="str">
        <v>Unidade</v>
      </c>
      <c r="E4" t="str">
        <v>Custo</v>
      </c>
      <c r="F4" t="str">
        <v>Obs</v>
      </c>
    </row>
    <row r="5">
      <c r="C5" t="str">
        <v>Custos Administrativos - franquia</v>
      </c>
      <c r="D5">
        <v>1</v>
      </c>
      <c r="E5">
        <v>80</v>
      </c>
    </row>
    <row r="6">
      <c r="C6" t="str">
        <v>Honorário</v>
      </c>
      <c r="D6">
        <v>45</v>
      </c>
      <c r="E6">
        <f>D6*'Referencias de Custos'!$D$2</f>
        <v>262.5</v>
      </c>
    </row>
    <row r="7">
      <c r="C7" t="str">
        <v>Subtotal bruto</v>
      </c>
      <c r="D7" t="str">
        <v>-</v>
      </c>
      <c r="E7">
        <f>SUM(E5:E6)</f>
        <v>342.5</v>
      </c>
    </row>
    <row r="8">
      <c r="C8" t="str">
        <v>Margem</v>
      </c>
      <c r="D8" t="str">
        <v>-</v>
      </c>
      <c r="E8">
        <f>E7*$D$1</f>
        <v>68.5</v>
      </c>
    </row>
    <row r="9">
      <c r="C9" t="str">
        <v>Sub + Margem</v>
      </c>
      <c r="D9" t="str">
        <v>-</v>
      </c>
      <c r="E9">
        <f>E8+E7</f>
        <v>411</v>
      </c>
    </row>
    <row r="11">
      <c r="C11" t="str">
        <v>Cenário checkout cartão (a)</v>
      </c>
    </row>
    <row r="12">
      <c r="C12" t="str">
        <v>Taxa Checkout</v>
      </c>
      <c r="D12">
        <v>0.05</v>
      </c>
      <c r="E12">
        <f>E9*D12</f>
        <v>20.55</v>
      </c>
    </row>
    <row r="13">
      <c r="C13" t="str">
        <v>Taxa Imposto</v>
      </c>
      <c r="D13">
        <v>0.08</v>
      </c>
      <c r="E13">
        <f>(E12+E9)*D13</f>
        <v>34.524</v>
      </c>
    </row>
    <row r="14">
      <c r="C14" t="str">
        <v>Total Líquido (a)</v>
      </c>
      <c r="D14" t="str">
        <v>-</v>
      </c>
      <c r="E14">
        <f>SUM(E12:E13,E9)</f>
        <v>466.074</v>
      </c>
    </row>
    <row r="15">
      <c r="C15" t="str">
        <v>Desconto Máximo (a)</v>
      </c>
      <c r="D15">
        <v>0.03</v>
      </c>
      <c r="E15">
        <f>-E14*D15</f>
        <v>-13.98222</v>
      </c>
    </row>
    <row r="16">
      <c r="C16" t="str">
        <v>Parcelamento Máximo</v>
      </c>
      <c r="D16">
        <v>0</v>
      </c>
    </row>
    <row r="18">
      <c r="C18" t="str">
        <v>Cenário checkout PIX (b)</v>
      </c>
    </row>
    <row r="19">
      <c r="C19" t="str">
        <v>Taxa Checkout</v>
      </c>
      <c r="D19">
        <v>0.01</v>
      </c>
      <c r="E19">
        <f>E9*D19</f>
        <v>4.11</v>
      </c>
    </row>
    <row r="20">
      <c r="C20" t="str">
        <v>Taxa Imposto</v>
      </c>
      <c r="D20">
        <v>0.08</v>
      </c>
      <c r="E20">
        <f>(E19+E9)*D20</f>
        <v>33.208800000000004</v>
      </c>
    </row>
    <row r="21">
      <c r="C21" t="str">
        <v>Total Líquido (b)</v>
      </c>
      <c r="D21" t="str">
        <v>-</v>
      </c>
      <c r="E21">
        <f>SUM(E19:E20,$E$9)</f>
        <v>448.3188</v>
      </c>
    </row>
    <row r="22">
      <c r="C22" t="str">
        <v>Desconto Máximo (b)</v>
      </c>
      <c r="D22">
        <v>0</v>
      </c>
      <c r="E22">
        <f>-E21*D22</f>
        <v>0</v>
      </c>
    </row>
    <row r="24">
      <c r="C24" t="str">
        <v>Desconto Membro Bplen</v>
      </c>
      <c r="D24">
        <f>E24/E21</f>
        <v>-0.17844444622888891</v>
      </c>
      <c r="E24">
        <f>-(E5)</f>
        <v>-80</v>
      </c>
    </row>
    <row r="26">
      <c r="C26" t="str">
        <v>Publicidade na Página de serviços?</v>
      </c>
      <c r="D26" t="str">
        <v>Não</v>
      </c>
    </row>
    <row r="28">
      <c r="C28" t="str">
        <v>Posicionamento de Carreira</v>
      </c>
    </row>
    <row r="29">
      <c r="C29" t="str">
        <v>Item</v>
      </c>
      <c r="D29" t="str">
        <v>Unidade</v>
      </c>
      <c r="E29" t="str">
        <v>Custo</v>
      </c>
      <c r="F29" t="str">
        <v>Obs</v>
      </c>
    </row>
    <row r="30">
      <c r="C30" t="str">
        <v>Custos Administrativos - franquia</v>
      </c>
      <c r="D30">
        <v>1</v>
      </c>
      <c r="E30">
        <v>80</v>
      </c>
    </row>
    <row r="31">
      <c r="C31" t="str">
        <v>BPlen HUB - franquia</v>
      </c>
      <c r="D31">
        <v>1</v>
      </c>
      <c r="E31">
        <v>29.08</v>
      </c>
    </row>
    <row r="32">
      <c r="C32" t="str">
        <v>Posicionamento de Carreira e-book - franquia</v>
      </c>
      <c r="D32">
        <v>1</v>
      </c>
      <c r="E32">
        <f>'Referencias de Custos'!D31</f>
        <v>50</v>
      </c>
    </row>
    <row r="33">
      <c r="C33" t="str">
        <v>Honorário</v>
      </c>
      <c r="D33">
        <v>90</v>
      </c>
      <c r="E33">
        <f>D33*'Referencias de Custos'!$D$2</f>
        <v>525</v>
      </c>
      <c r="F33" t="str">
        <v>1 to 1 (30min), Devolutiva (60min)</v>
      </c>
    </row>
    <row r="34">
      <c r="C34" t="str">
        <v>Subtotal bruto</v>
      </c>
      <c r="D34" t="str">
        <v>-</v>
      </c>
      <c r="E34">
        <f>SUM(E30:E33)</f>
        <v>684.0799999999999</v>
      </c>
    </row>
    <row r="35">
      <c r="C35" t="str">
        <v>Margem</v>
      </c>
      <c r="D35" t="str">
        <v>-</v>
      </c>
      <c r="E35">
        <f>E34*$D$1</f>
        <v>136.816</v>
      </c>
    </row>
    <row r="36">
      <c r="C36" t="str">
        <v>Sub + Margem</v>
      </c>
      <c r="D36" t="str">
        <v>-</v>
      </c>
      <c r="E36">
        <f>E35+E34</f>
        <v>820.896</v>
      </c>
    </row>
    <row r="38">
      <c r="C38" t="str">
        <v>Cenário checkout cartão (a)</v>
      </c>
    </row>
    <row r="39">
      <c r="C39" t="str">
        <v>Taxa Checkout</v>
      </c>
      <c r="D39">
        <v>0.05</v>
      </c>
      <c r="E39">
        <f>E36*D39</f>
        <v>41.0448</v>
      </c>
    </row>
    <row r="40">
      <c r="C40" t="str">
        <v>Taxa Imposto</v>
      </c>
      <c r="D40">
        <v>0.08</v>
      </c>
      <c r="E40">
        <f>(E39+E36)*D40</f>
        <v>68.955264</v>
      </c>
    </row>
    <row r="41">
      <c r="C41" t="str">
        <v>Total Líquido (a)</v>
      </c>
      <c r="D41" t="str">
        <v>-</v>
      </c>
      <c r="E41">
        <v>930.9</v>
      </c>
    </row>
    <row r="42">
      <c r="C42" t="str">
        <v>Desconto Máximo (a)</v>
      </c>
      <c r="D42">
        <v>0.03</v>
      </c>
      <c r="E42">
        <f>-E41*D42</f>
        <v>-27.927</v>
      </c>
    </row>
    <row r="43">
      <c r="C43" t="str">
        <v>Parcelamento Máximo</v>
      </c>
      <c r="D43">
        <v>3</v>
      </c>
      <c r="E43">
        <f>E41/D43</f>
        <v>310.3</v>
      </c>
    </row>
    <row r="45">
      <c r="C45" t="str">
        <v>Cenário checkout PIX (b)</v>
      </c>
    </row>
    <row r="46">
      <c r="C46" t="str">
        <v>Taxa Checkout</v>
      </c>
      <c r="D46">
        <v>0.01</v>
      </c>
      <c r="E46">
        <f>E36*D46</f>
        <v>8.20896</v>
      </c>
    </row>
    <row r="47">
      <c r="C47" t="str">
        <v>Taxa Imposto</v>
      </c>
      <c r="D47">
        <v>0.08</v>
      </c>
      <c r="E47">
        <f>(E46+E36)*D47</f>
        <v>66.32839680000001</v>
      </c>
    </row>
    <row r="48">
      <c r="C48" t="str">
        <v>Total Líquido (b)</v>
      </c>
      <c r="D48" t="str">
        <v>-</v>
      </c>
      <c r="E48">
        <v>895.43</v>
      </c>
    </row>
    <row r="49">
      <c r="C49" t="str">
        <v>Desconto Máximo (b)</v>
      </c>
      <c r="D49">
        <v>0</v>
      </c>
      <c r="E49">
        <f>-E48*D49</f>
        <v>0</v>
      </c>
    </row>
    <row r="51">
      <c r="C51" t="str">
        <v>Desconto Membro Bplen</v>
      </c>
      <c r="D51">
        <f>E51/E48</f>
        <v>-0.12181856761555901</v>
      </c>
      <c r="E51">
        <f>-(E30+E31)</f>
        <v>-109.08</v>
      </c>
    </row>
    <row r="54">
      <c r="C54" t="str">
        <v>Publicidade na Página de serviços?</v>
      </c>
      <c r="D54" t="str">
        <v>Sim</v>
      </c>
    </row>
    <row r="56">
      <c r="C56" t="str">
        <v>Análise Comportamental</v>
      </c>
    </row>
    <row r="57">
      <c r="C57" t="str">
        <v>Item</v>
      </c>
      <c r="D57" t="str">
        <v>Unidade</v>
      </c>
      <c r="E57" t="str">
        <v>Custo</v>
      </c>
      <c r="F57" t="str">
        <v>Obs</v>
      </c>
    </row>
    <row r="58">
      <c r="C58" t="str">
        <v>Custos Administrativos - franquia</v>
      </c>
      <c r="D58">
        <v>1</v>
      </c>
      <c r="E58">
        <v>80</v>
      </c>
    </row>
    <row r="59">
      <c r="C59" t="str">
        <v>BPlen HUB - franquia</v>
      </c>
      <c r="D59">
        <v>1</v>
      </c>
      <c r="E59">
        <v>29.08</v>
      </c>
    </row>
    <row r="60">
      <c r="C60" t="str">
        <v>Área Membro</v>
      </c>
      <c r="D60">
        <v>1</v>
      </c>
      <c r="E60">
        <v>15</v>
      </c>
    </row>
    <row r="61">
      <c r="C61" t="str">
        <v>Relatório DISC</v>
      </c>
      <c r="D61">
        <v>1</v>
      </c>
      <c r="E61">
        <v>160</v>
      </c>
    </row>
    <row r="62">
      <c r="C62" t="str">
        <v>Relatório de Análise Comportamental</v>
      </c>
      <c r="D62">
        <v>1</v>
      </c>
      <c r="E62">
        <v>160</v>
      </c>
    </row>
    <row r="63">
      <c r="C63" t="str">
        <v>Honorário</v>
      </c>
      <c r="D63">
        <v>120</v>
      </c>
      <c r="E63">
        <f>D63*'Referencias de Custos'!$D$2</f>
        <v>700</v>
      </c>
      <c r="F63" t="str">
        <v>Análise Comportamental (60min), Devolutiva Comportamental (60min)</v>
      </c>
    </row>
    <row r="64">
      <c r="C64" t="str">
        <v>Honorário - Franquia</v>
      </c>
      <c r="D64">
        <v>2</v>
      </c>
      <c r="E64">
        <f>D64*'Referencias de Custos'!$D$30</f>
        <v>70</v>
      </c>
      <c r="F64" t="str">
        <v>Onboarding (60min), Offboarding (60min)</v>
      </c>
    </row>
    <row r="65">
      <c r="C65" t="str">
        <v>Subtotal bruto</v>
      </c>
      <c r="D65" t="str">
        <v>-</v>
      </c>
      <c r="E65">
        <f>SUM(E58:E64)</f>
        <v>1214.08</v>
      </c>
    </row>
    <row r="66">
      <c r="C66" t="str">
        <v>Margem</v>
      </c>
      <c r="D66" t="str">
        <v>-</v>
      </c>
      <c r="E66">
        <f>E65*$D$1</f>
        <v>242.816</v>
      </c>
    </row>
    <row r="67">
      <c r="C67" t="str">
        <v>Sub + Margem</v>
      </c>
      <c r="D67" t="str">
        <v>-</v>
      </c>
      <c r="E67">
        <f>E66+E65</f>
        <v>1456.896</v>
      </c>
    </row>
    <row r="69">
      <c r="C69" t="str">
        <v>Cenário checkout cartão (a)</v>
      </c>
    </row>
    <row r="70">
      <c r="C70" t="str">
        <v>Taxa Checkout</v>
      </c>
      <c r="D70">
        <v>0.05</v>
      </c>
      <c r="E70">
        <f>E67*D70</f>
        <v>72.8448</v>
      </c>
    </row>
    <row r="71">
      <c r="C71" t="str">
        <v>Taxa Imposto</v>
      </c>
      <c r="D71">
        <v>0.08</v>
      </c>
      <c r="E71">
        <f>(E70+E67)*D71</f>
        <v>122.379264</v>
      </c>
    </row>
    <row r="72">
      <c r="C72" t="str">
        <v>Total Líquido (a)</v>
      </c>
      <c r="D72" t="str">
        <v>-</v>
      </c>
      <c r="E72">
        <v>1652.12</v>
      </c>
    </row>
    <row r="73">
      <c r="C73" t="str">
        <v>Desconto Máximo (a)</v>
      </c>
      <c r="D73">
        <v>0.03</v>
      </c>
      <c r="E73">
        <f>-E72*D73</f>
        <v>-49.563599999999994</v>
      </c>
    </row>
    <row r="74">
      <c r="C74" t="str">
        <v>Parcelamento Máximo</v>
      </c>
      <c r="D74">
        <v>5</v>
      </c>
      <c r="E74">
        <f>E72/D74</f>
        <v>330.424</v>
      </c>
    </row>
    <row r="76">
      <c r="C76" t="str">
        <v>Cenário checkout PIX (b)</v>
      </c>
    </row>
    <row r="77">
      <c r="C77" t="str">
        <v>Taxa Checkout</v>
      </c>
      <c r="D77">
        <v>0.01</v>
      </c>
      <c r="E77">
        <f>E67*D77</f>
        <v>14.56896</v>
      </c>
    </row>
    <row r="78">
      <c r="C78" t="str">
        <v>Taxa Imposto</v>
      </c>
      <c r="D78">
        <v>0.08</v>
      </c>
      <c r="E78">
        <f>(E77+E67)*D78</f>
        <v>117.71719680000001</v>
      </c>
    </row>
    <row r="79">
      <c r="C79" t="str">
        <v>Total Líquido (b)</v>
      </c>
      <c r="D79" t="str">
        <v>-</v>
      </c>
      <c r="E79">
        <v>1589.18</v>
      </c>
    </row>
    <row r="80">
      <c r="C80" t="str">
        <v>Desconto Máximo (b)</v>
      </c>
      <c r="D80">
        <v>0</v>
      </c>
      <c r="E80">
        <f>-E79*D80</f>
        <v>0</v>
      </c>
    </row>
    <row r="82">
      <c r="C82" t="str">
        <v>Desconto Membro Bplen</v>
      </c>
      <c r="D82">
        <f>E82/E79</f>
        <v>-0.2983173712228948</v>
      </c>
      <c r="E82">
        <f>-(E58+E59+E60+350)</f>
        <v>-474.08</v>
      </c>
    </row>
    <row r="84">
      <c r="C84" t="str">
        <v>Publicidade na Página de serviços?</v>
      </c>
      <c r="D84" t="str">
        <v>Sim</v>
      </c>
    </row>
    <row r="86">
      <c r="C86" t="str">
        <v>Plano de Carreira</v>
      </c>
    </row>
    <row r="87">
      <c r="C87" t="str">
        <v>Item</v>
      </c>
      <c r="D87" t="str">
        <v>Unidade</v>
      </c>
      <c r="E87" t="str">
        <v>Custo</v>
      </c>
      <c r="F87" t="str">
        <v>Obs</v>
      </c>
    </row>
    <row r="88">
      <c r="C88" t="str">
        <v>Custos Administrativos - franquia</v>
      </c>
      <c r="D88">
        <v>1</v>
      </c>
      <c r="E88">
        <v>80</v>
      </c>
    </row>
    <row r="89">
      <c r="C89" t="str">
        <v>BPlen HUB - franquia</v>
      </c>
      <c r="D89">
        <v>1</v>
      </c>
      <c r="E89">
        <v>29.08</v>
      </c>
    </row>
    <row r="90">
      <c r="C90" t="str">
        <v>Área Membro</v>
      </c>
      <c r="D90">
        <v>1</v>
      </c>
      <c r="E90">
        <v>15</v>
      </c>
    </row>
    <row r="91">
      <c r="C91" t="str">
        <v>Relatório PDI</v>
      </c>
      <c r="D91">
        <v>1</v>
      </c>
      <c r="E91">
        <v>160</v>
      </c>
    </row>
    <row r="92">
      <c r="C92" t="str">
        <v>Honorário</v>
      </c>
      <c r="D92">
        <v>180</v>
      </c>
      <c r="E92">
        <f>D92*'Referencias de Custos'!$D$2</f>
        <v>1050</v>
      </c>
      <c r="F92" t="str">
        <v>Análise de Plano de Carreira (60min), Devolutiva  de Plano de Carreira (60min), Avaliação de Elegibilidade para Plano de Carreira (60min)</v>
      </c>
    </row>
    <row r="93">
      <c r="C93" t="str">
        <v>Honorário - Franquia</v>
      </c>
      <c r="D93">
        <v>2</v>
      </c>
      <c r="E93">
        <f>D93*'Referencias de Custos'!$D$30</f>
        <v>70</v>
      </c>
      <c r="F93" t="str">
        <v>Onboarding (60min), Offboarding (60min)</v>
      </c>
    </row>
    <row r="95">
      <c r="C95" t="str">
        <v>Subtotal bruto</v>
      </c>
      <c r="D95" t="str">
        <v>-</v>
      </c>
      <c r="E95">
        <f>SUM(E88:E93)</f>
        <v>1404.08</v>
      </c>
    </row>
    <row r="96">
      <c r="C96" t="str">
        <v>Margem</v>
      </c>
      <c r="D96" t="str">
        <v>-</v>
      </c>
      <c r="E96">
        <f>E95*$D$1</f>
        <v>280.816</v>
      </c>
    </row>
    <row r="97">
      <c r="C97" t="str">
        <v>Sub + Margem</v>
      </c>
      <c r="D97" t="str">
        <v>-</v>
      </c>
      <c r="E97">
        <f>E96+E95</f>
        <v>1684.896</v>
      </c>
    </row>
    <row r="99">
      <c r="C99" t="str">
        <v>Cenário checkout cartão (a)</v>
      </c>
    </row>
    <row r="100">
      <c r="C100" t="str">
        <v>Taxa Checkout</v>
      </c>
      <c r="D100">
        <v>0.05</v>
      </c>
      <c r="E100">
        <f>E97*D100</f>
        <v>84.2448</v>
      </c>
    </row>
    <row r="101">
      <c r="C101" t="str">
        <v>Taxa Imposto</v>
      </c>
      <c r="D101">
        <v>0.08</v>
      </c>
      <c r="E101">
        <f>(E100+E97)*D101</f>
        <v>141.531264</v>
      </c>
    </row>
    <row r="102">
      <c r="C102" t="str">
        <v>Total Líquido (a)</v>
      </c>
      <c r="D102" t="str">
        <v>-</v>
      </c>
      <c r="E102">
        <v>1910.67</v>
      </c>
    </row>
    <row r="103">
      <c r="C103" t="str">
        <v>Desconto Máximo (a)</v>
      </c>
      <c r="D103">
        <v>0.03</v>
      </c>
      <c r="E103">
        <f>-E102*D103</f>
        <v>-57.320100000000004</v>
      </c>
    </row>
    <row r="104">
      <c r="C104" t="str">
        <v>Parcelamento Máximo</v>
      </c>
      <c r="D104">
        <v>5</v>
      </c>
      <c r="E104">
        <f>E102/D104</f>
        <v>382.134</v>
      </c>
    </row>
    <row r="106">
      <c r="C106" t="str">
        <v>Cenário checkout PIX (b)</v>
      </c>
    </row>
    <row r="107">
      <c r="C107" t="str">
        <v>Taxa Checkout</v>
      </c>
      <c r="D107">
        <v>0.01</v>
      </c>
      <c r="E107">
        <f>E97*D107</f>
        <v>16.848959999999998</v>
      </c>
    </row>
    <row r="108">
      <c r="C108" t="str">
        <v>Taxa Imposto</v>
      </c>
      <c r="D108">
        <v>0.08</v>
      </c>
      <c r="E108">
        <f>(E107+E97)*D108</f>
        <v>136.1395968</v>
      </c>
    </row>
    <row r="109">
      <c r="C109" t="str">
        <v>Total Líquido (b)</v>
      </c>
      <c r="D109" t="str">
        <v>-</v>
      </c>
      <c r="E109">
        <v>1837.88</v>
      </c>
    </row>
    <row r="110">
      <c r="C110" t="str">
        <v>Desconto Máximo (b)</v>
      </c>
      <c r="D110">
        <v>0</v>
      </c>
      <c r="E110">
        <f>-E109*D110</f>
        <v>0</v>
      </c>
    </row>
    <row r="112">
      <c r="C112" t="str">
        <v>Desconto Membro Bplen</v>
      </c>
      <c r="D112">
        <f>E112/E109</f>
        <v>-0.25794937645548127</v>
      </c>
      <c r="E112">
        <f>-(E88+E89+E90+350)</f>
        <v>-474.08</v>
      </c>
      <c r="F112" t="str">
        <v>Desconto condicionado a conclusão da etapa Análise Comportamental</v>
      </c>
    </row>
    <row r="114">
      <c r="C114" t="str">
        <v>Publicidade na Página de serviços?</v>
      </c>
      <c r="D114" t="str">
        <v>Sim</v>
      </c>
    </row>
    <row r="115">
      <c r="C115" t="str">
        <v>Obs:</v>
      </c>
      <c r="D115" t="str">
        <v>O serviço apenas poderá ser obtido por clientes que já concluíram a etapa de análise comportamental da Bplen ou aprovados no processo de Avaliação de Elegibilidade</v>
      </c>
    </row>
    <row r="117">
      <c r="C117" t="str">
        <v>Gestão e Desenvolvimento de Carreira</v>
      </c>
    </row>
    <row r="118">
      <c r="C118" t="str">
        <v>Item</v>
      </c>
      <c r="D118" t="str">
        <v>Unidade</v>
      </c>
      <c r="E118" t="str">
        <v>Custo</v>
      </c>
      <c r="F118" t="str">
        <v>Obs</v>
      </c>
    </row>
    <row r="119">
      <c r="C119" t="str">
        <v>Custos Administrativos - franquia</v>
      </c>
      <c r="D119">
        <v>1</v>
      </c>
      <c r="E119">
        <v>80</v>
      </c>
    </row>
    <row r="120">
      <c r="C120" t="str">
        <v>BPlen HUB - franquia</v>
      </c>
      <c r="D120">
        <v>1</v>
      </c>
      <c r="E120">
        <v>29.08</v>
      </c>
    </row>
    <row r="121">
      <c r="C121" t="str">
        <v>Área Membro</v>
      </c>
      <c r="D121">
        <v>1</v>
      </c>
      <c r="E121">
        <v>15</v>
      </c>
    </row>
    <row r="122">
      <c r="C122" t="str">
        <v>Área Membro | GDC Dashboard</v>
      </c>
      <c r="D122">
        <v>1</v>
      </c>
      <c r="E122">
        <v>15</v>
      </c>
    </row>
    <row r="123">
      <c r="C123" t="str">
        <v>GDC e-book - franquia</v>
      </c>
      <c r="D123">
        <v>1</v>
      </c>
      <c r="E123">
        <f>'Referencias de Custos'!D29</f>
        <v>200</v>
      </c>
    </row>
    <row r="124">
      <c r="C124" t="str">
        <v>Honorário</v>
      </c>
      <c r="D124">
        <v>1380</v>
      </c>
      <c r="E124">
        <f>D124*'Referencias de Custos'!$D$2</f>
        <v>8050</v>
      </c>
      <c r="F124" t="str">
        <v>Análise (60min), Devolutiva (60min), GDC Orientação (600min), 1 to 1 (600min), Avaliação de Elegibilidade para Plano de Carreira (60min)</v>
      </c>
    </row>
    <row r="125">
      <c r="C125" t="str">
        <v>Honorário - Franquia</v>
      </c>
      <c r="D125">
        <v>2</v>
      </c>
      <c r="E125">
        <f>D125*'Referencias de Custos'!$D$30</f>
        <v>70</v>
      </c>
      <c r="F125" t="str">
        <v>Onboarding (60min), Offboarding (60min)</v>
      </c>
    </row>
    <row r="126">
      <c r="C126" t="str">
        <v>Subtotal bruto</v>
      </c>
      <c r="D126" t="str">
        <v>-</v>
      </c>
      <c r="E126">
        <f>SUM(E119:E125)</f>
        <v>8459.08</v>
      </c>
    </row>
    <row r="127">
      <c r="C127" t="str">
        <v>Margem</v>
      </c>
      <c r="D127" t="str">
        <v>-</v>
      </c>
      <c r="E127">
        <f>E126*$D$1</f>
        <v>1691.816</v>
      </c>
    </row>
    <row r="128">
      <c r="C128" t="str">
        <v>Sub + Margem</v>
      </c>
      <c r="D128" t="str">
        <v>-</v>
      </c>
      <c r="E128">
        <f>E127+E126</f>
        <v>10150.896</v>
      </c>
    </row>
    <row r="130">
      <c r="C130" t="str">
        <v>Cenário checkout cartão (a)</v>
      </c>
    </row>
    <row r="131">
      <c r="C131" t="str">
        <v>Taxa Checkout</v>
      </c>
      <c r="D131">
        <v>0.05</v>
      </c>
      <c r="E131">
        <f>E128*D131</f>
        <v>507.54480000000007</v>
      </c>
    </row>
    <row r="132">
      <c r="C132" t="str">
        <v>Taxa Imposto</v>
      </c>
      <c r="D132">
        <v>0.08</v>
      </c>
      <c r="E132">
        <f>(E131+E128)*D132</f>
        <v>852.6752640000001</v>
      </c>
    </row>
    <row r="133">
      <c r="C133" t="str">
        <v>Total Líquido (a)</v>
      </c>
      <c r="D133" t="str">
        <v>-</v>
      </c>
      <c r="E133">
        <v>11511.12</v>
      </c>
    </row>
    <row r="134">
      <c r="C134" t="str">
        <v>Desconto Máximo (a)</v>
      </c>
      <c r="D134">
        <v>0.03</v>
      </c>
      <c r="E134">
        <f>-E133*D134</f>
        <v>-345.3336</v>
      </c>
    </row>
    <row r="135">
      <c r="C135" t="str">
        <v>Parcelamento Máximo</v>
      </c>
      <c r="D135">
        <v>12</v>
      </c>
      <c r="E135">
        <f>E133/D135</f>
        <v>959.2600000000001</v>
      </c>
    </row>
    <row r="137">
      <c r="C137" t="str">
        <v>Cenário checkout PIX (b)</v>
      </c>
    </row>
    <row r="138">
      <c r="C138" t="str">
        <v>Taxa Checkout</v>
      </c>
      <c r="D138">
        <v>0.01</v>
      </c>
      <c r="E138">
        <f>E128*D138</f>
        <v>101.50896</v>
      </c>
    </row>
    <row r="139">
      <c r="C139" t="str">
        <v>Taxa Imposto</v>
      </c>
      <c r="D139">
        <v>0.08</v>
      </c>
      <c r="E139">
        <f>(E138+E128)*D139</f>
        <v>820.1923968</v>
      </c>
    </row>
    <row r="140">
      <c r="C140" t="str">
        <v>Total Líquido (b)</v>
      </c>
      <c r="D140" t="str">
        <v>-</v>
      </c>
      <c r="E140">
        <v>11072.6</v>
      </c>
    </row>
    <row r="141">
      <c r="C141" t="str">
        <v>Desconto Máximo (b)</v>
      </c>
      <c r="D141">
        <v>0</v>
      </c>
      <c r="E141">
        <f>-E140*D141</f>
        <v>0</v>
      </c>
    </row>
    <row r="143">
      <c r="C143" t="str">
        <v>Desconto Membro Bplen</v>
      </c>
      <c r="D143">
        <f>E143/E140</f>
        <v>-0.0428155988656684</v>
      </c>
      <c r="E143">
        <f>-(E119+E120+E121+350)</f>
        <v>-474.08</v>
      </c>
      <c r="F143" t="str">
        <v>Desconto condicionado a conclusão da etapa Plano de Carreira</v>
      </c>
    </row>
    <row r="145">
      <c r="C145" t="str">
        <v>Publicidade na Página de serviços?</v>
      </c>
      <c r="D145" t="str">
        <v>Sim</v>
      </c>
    </row>
    <row r="146">
      <c r="C146" t="str">
        <v>Obs:</v>
      </c>
      <c r="D146" t="str">
        <v>O serviço apenas poderá ser obtido por clientes que já concluíram a etapa de plano de carreira da BPlen ou aprovados no processo de Avaliação de Elegibilidade</v>
      </c>
    </row>
    <row r="148">
      <c r="C148" t="str">
        <v>Coaching e Mentoria</v>
      </c>
    </row>
    <row r="149">
      <c r="C149" t="str">
        <v>Item</v>
      </c>
      <c r="D149" t="str">
        <v>Unidade</v>
      </c>
      <c r="E149" t="str">
        <v>Custo</v>
      </c>
      <c r="F149" t="str">
        <v>Obs</v>
      </c>
    </row>
    <row r="150">
      <c r="C150" t="str">
        <v>Custos Administrativos - franquia</v>
      </c>
      <c r="D150">
        <v>1</v>
      </c>
      <c r="E150">
        <v>80</v>
      </c>
    </row>
    <row r="151">
      <c r="C151" t="str">
        <v>BPlen HUB - franquia</v>
      </c>
      <c r="D151">
        <v>1</v>
      </c>
      <c r="E151">
        <v>29.08</v>
      </c>
    </row>
    <row r="152">
      <c r="C152" t="str">
        <v>Área Membro</v>
      </c>
      <c r="D152">
        <v>1</v>
      </c>
      <c r="E152">
        <v>15</v>
      </c>
    </row>
    <row r="153">
      <c r="C153" t="str">
        <v>Área Membro | MentoCoach Dashboard</v>
      </c>
      <c r="D153">
        <v>1</v>
      </c>
      <c r="E153">
        <v>250</v>
      </c>
    </row>
    <row r="154">
      <c r="C154" t="str">
        <v>Relatório DISC</v>
      </c>
      <c r="D154">
        <v>1</v>
      </c>
      <c r="E154">
        <v>160</v>
      </c>
    </row>
    <row r="155">
      <c r="C155" t="str">
        <v>Honorário</v>
      </c>
      <c r="D155">
        <v>1020</v>
      </c>
      <c r="E155">
        <f>D155*'Referencias de Custos'!$D$2</f>
        <v>5950</v>
      </c>
      <c r="F155" t="str">
        <v>Onboarding (60min), Análise (60min), Devolutiva (60min), Sessões (780), Offboarding (60min)</v>
      </c>
    </row>
    <row r="156">
      <c r="C156" t="str">
        <v>Subtotal bruto</v>
      </c>
      <c r="D156" t="str">
        <v>-</v>
      </c>
      <c r="E156">
        <f>SUM(E150:E155)</f>
        <v>6484.08</v>
      </c>
    </row>
    <row r="157">
      <c r="C157" t="str">
        <v>Margem</v>
      </c>
      <c r="D157" t="str">
        <v>-</v>
      </c>
      <c r="E157">
        <f>E156*$D$1</f>
        <v>1296.816</v>
      </c>
    </row>
    <row r="158">
      <c r="C158" t="str">
        <v>Sub + Margem</v>
      </c>
      <c r="D158" t="str">
        <v>-</v>
      </c>
      <c r="E158">
        <f>E157+E156</f>
        <v>7780.896</v>
      </c>
    </row>
    <row r="159">
      <c r="C159" t="str">
        <v>Cenário checkout cartão (a)</v>
      </c>
    </row>
    <row r="160">
      <c r="C160" t="str">
        <v>Taxa Checkout</v>
      </c>
      <c r="D160">
        <v>0.05</v>
      </c>
      <c r="E160">
        <f>E158*D160</f>
        <v>389.0448</v>
      </c>
    </row>
    <row r="161">
      <c r="C161" t="str">
        <v>Taxa Imposto</v>
      </c>
      <c r="D161">
        <v>0.08</v>
      </c>
      <c r="E161">
        <f>(E160+E158)*D161</f>
        <v>653.5952639999999</v>
      </c>
    </row>
    <row r="162">
      <c r="C162" t="str">
        <v>Total Líquido (a)</v>
      </c>
      <c r="D162" t="str">
        <v>-</v>
      </c>
      <c r="E162">
        <v>8823.54</v>
      </c>
    </row>
    <row r="163">
      <c r="C163" t="str">
        <v>Desconto Máximo (a)</v>
      </c>
      <c r="D163">
        <v>0.03</v>
      </c>
      <c r="E163">
        <f>-E162*D163</f>
        <v>-264.7062</v>
      </c>
    </row>
    <row r="164">
      <c r="C164" t="str">
        <v>Parcelamento Máximo</v>
      </c>
      <c r="D164">
        <v>12</v>
      </c>
      <c r="E164">
        <f>E162/D164</f>
        <v>735.2950000000001</v>
      </c>
    </row>
    <row r="166">
      <c r="C166" t="str">
        <v>Cenário checkout PIX (b)</v>
      </c>
    </row>
    <row r="167">
      <c r="C167" t="str">
        <v>Taxa Checkout</v>
      </c>
      <c r="D167">
        <v>0.01</v>
      </c>
      <c r="E167">
        <f>E158*D167</f>
        <v>77.80896</v>
      </c>
    </row>
    <row r="168">
      <c r="C168" t="str">
        <v>Taxa Imposto</v>
      </c>
      <c r="D168">
        <v>0.08</v>
      </c>
      <c r="E168">
        <f>(E167+E158)*D168</f>
        <v>628.6963968</v>
      </c>
    </row>
    <row r="169">
      <c r="C169" t="str">
        <v>Total Líquido (b)</v>
      </c>
      <c r="D169" t="str">
        <v>-</v>
      </c>
      <c r="E169">
        <v>8487.4</v>
      </c>
    </row>
    <row r="170">
      <c r="C170" t="str">
        <v>Desconto Máximo (b)</v>
      </c>
      <c r="D170">
        <v>0</v>
      </c>
      <c r="E170">
        <f>-E169*D170</f>
        <v>0</v>
      </c>
    </row>
    <row r="172">
      <c r="C172" t="str">
        <v>Desconto Membro Bplen (a)</v>
      </c>
      <c r="D172">
        <f>E172/E169</f>
        <v>-0.05585691731272239</v>
      </c>
      <c r="E172">
        <f>-(E150+E151+E152+350)</f>
        <v>-474.08</v>
      </c>
    </row>
    <row r="173">
      <c r="C173" t="str">
        <v>Desconto Membro Bplen (b)</v>
      </c>
      <c r="D173">
        <f>E173/E158</f>
        <v>-0.15603344396326593</v>
      </c>
      <c r="E173">
        <f>-(E65)</f>
        <v>-1214.08</v>
      </c>
      <c r="F173" t="str">
        <v>Desconto condicionado a conclusão da etapa Análise Comportamental</v>
      </c>
    </row>
    <row r="199">
      <c r="C199" t="str">
        <v>Publicidade na Página de serviços?</v>
      </c>
      <c r="D199" t="str">
        <v>Sim</v>
      </c>
    </row>
  </sheetData>
  <pageMargins left="0.511811024" right="0.511811024" top="0.787401575" bottom="0.787401575" header="0.31496062" footer="0.31496062"/>
  <ignoredErrors>
    <ignoredError numberStoredAsText="1" sqref="B1:F19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J129"/>
  <sheetViews>
    <sheetView workbookViewId="0" rightToLeft="0"/>
  </sheetViews>
  <sheetData>
    <row r="2">
      <c r="D2" t="str">
        <v>BPlen HUB</v>
      </c>
    </row>
    <row r="3">
      <c r="D3" t="str">
        <v>Precificação de Pacotes Estruturados (Deduplicação de Custos &amp; Impostos Simplificados)</v>
      </c>
    </row>
    <row r="6">
      <c r="B6" t="str">
        <v>1. Resumo Comercial dos Pacotes de Serviço</v>
      </c>
    </row>
    <row r="7">
      <c r="B7" t="str">
        <v>Pacote</v>
      </c>
      <c r="C7" t="str">
        <v>Composição de Serviços</v>
      </c>
      <c r="D7" t="str">
        <v>Subtotal Bruto</v>
      </c>
      <c r="E7" t="str">
        <v>Margem (20%)</v>
      </c>
      <c r="F7" t="str">
        <v>Preço Cartão</v>
      </c>
      <c r="G7" t="str">
        <v>Preço PIX (Sugerido)</v>
      </c>
      <c r="H7" t="str">
        <v>Soma Individual (Cartão)</v>
      </c>
      <c r="I7" t="str">
        <v>Soma Individual (PIX)</v>
      </c>
      <c r="J7" t="str">
        <v>Economia p/ Cliente (PIX)</v>
      </c>
    </row>
    <row r="8">
      <c r="B8" t="str">
        <v>Junior</v>
      </c>
      <c r="C8" t="str">
        <v>Posicionamento de Carreira</v>
      </c>
      <c r="D8">
        <f>E22</f>
        <v>684.08233</v>
      </c>
      <c r="E8">
        <f>E23</f>
        <v>136.816466</v>
      </c>
      <c r="F8">
        <v>930.9</v>
      </c>
      <c r="G8">
        <v>895.44</v>
      </c>
      <c r="H8">
        <f>'Custo de Serviços'!$E$41</f>
        <v>930.9</v>
      </c>
      <c r="I8">
        <f>'Custo de Serviços'!$E$48</f>
        <v>895.43</v>
      </c>
      <c r="J8">
        <f>I8-G8</f>
        <v>-0.010000000000104592</v>
      </c>
    </row>
    <row r="9">
      <c r="B9" t="str">
        <v>Pleno</v>
      </c>
      <c r="C9" t="str">
        <v>Junior + Análise Comportamental</v>
      </c>
      <c r="D9">
        <f>E43</f>
        <v>1789.08233</v>
      </c>
      <c r="E9">
        <f>E44</f>
        <v>357.816466</v>
      </c>
      <c r="F9">
        <v>2434.58</v>
      </c>
      <c r="G9">
        <v>2341.84</v>
      </c>
      <c r="H9">
        <f>'Custo de Serviços'!$E$41 + 'Custo de Serviços'!$E$72</f>
        <v>2583.02</v>
      </c>
      <c r="I9">
        <f>'Custo de Serviços'!$E$48 + 'Custo de Serviços'!$E$79</f>
        <v>2484.61</v>
      </c>
      <c r="J9">
        <f>I9-G9</f>
        <v>142.76999999999998</v>
      </c>
    </row>
    <row r="10">
      <c r="B10" t="str">
        <v>Senior</v>
      </c>
      <c r="C10" t="str">
        <v>Pleno + Plano de Carreira</v>
      </c>
      <c r="D10">
        <f>E66</f>
        <v>2999.08233</v>
      </c>
      <c r="E10">
        <f>E67</f>
        <v>599.8164660000001</v>
      </c>
      <c r="F10">
        <v>4081.15</v>
      </c>
      <c r="G10">
        <v>3925.68</v>
      </c>
      <c r="H10">
        <f>'Custo de Serviços'!$E$41 + 'Custo de Serviços'!$E$72 + 'Custo de Serviços'!$E$102</f>
        <v>4493.6900000000005</v>
      </c>
      <c r="I10">
        <f>'Custo de Serviços'!$E$48 + 'Custo de Serviços'!$E$79 + 'Custo de Serviços'!$E$109</f>
        <v>4322.49</v>
      </c>
      <c r="J10">
        <f>I10-G10</f>
        <v>396.80999999999995</v>
      </c>
    </row>
    <row r="11">
      <c r="B11" t="str">
        <v>Lider</v>
      </c>
      <c r="C11" t="str">
        <v>Senior + Gestão e Desenvolvimento (GDC)</v>
      </c>
      <c r="D11">
        <f>E91</f>
        <v>11264.08233</v>
      </c>
      <c r="E11">
        <f>E92</f>
        <v>2252.8164659999998</v>
      </c>
      <c r="F11">
        <v>15328.16</v>
      </c>
      <c r="G11">
        <v>14744.23</v>
      </c>
      <c r="H11">
        <f>'Custo de Serviços'!$E$41 + 'Custo de Serviços'!$E$72 + 'Custo de Serviços'!$E$102 + 'Custo de Serviços'!$E$133</f>
        <v>16004.810000000001</v>
      </c>
      <c r="I11">
        <f>'Custo de Serviços'!$E$48 + 'Custo de Serviços'!$E$79 + 'Custo de Serviços'!$E$109 + 'Custo de Serviços'!$E$140</f>
        <v>15395.09</v>
      </c>
      <c r="J11">
        <f>I11-G11</f>
        <v>650.8600000000006</v>
      </c>
    </row>
    <row r="12">
      <c r="B12" t="str">
        <v>Embaixador BPlen</v>
      </c>
      <c r="C12" t="str">
        <v>Lider</v>
      </c>
      <c r="D12">
        <f>E116</f>
        <v>17464.08233</v>
      </c>
      <c r="E12">
        <f>E117</f>
        <v>3492.816466</v>
      </c>
      <c r="F12">
        <v>23765.12</v>
      </c>
      <c r="G12">
        <v>22859.79</v>
      </c>
      <c r="H12">
        <f>'Custo de Serviços'!$E$41 + 'Custo de Serviços'!$E$72 + 'Custo de Serviços'!$E$102 + 'Custo de Serviços'!$E$133 + 'Custo de Serviços'!$E$162</f>
        <v>24828.350000000002</v>
      </c>
      <c r="I12">
        <f>'Custo de Serviços'!$E$48 + 'Custo de Serviços'!$E$79 + 'Custo de Serviços'!$E$109 + 'Custo de Serviços'!$E$140 + 'Custo de Serviços'!$E$169</f>
        <v>23882.489999999998</v>
      </c>
      <c r="J12">
        <f>I12-G12</f>
        <v>1022.6999999999971</v>
      </c>
    </row>
    <row r="14">
      <c r="B14" t="str">
        <v>2. Detalhamento de Custos e Lógica de Formação de Preço por Pacote</v>
      </c>
    </row>
    <row r="16">
      <c r="B16" t="str">
        <v>Pacote JUNIOR</v>
      </c>
    </row>
    <row r="17">
      <c r="B17" t="str">
        <v>Item de Custo</v>
      </c>
      <c r="C17" t="str">
        <v>Unidade</v>
      </c>
      <c r="D17" t="str">
        <v>Custo Unitário</v>
      </c>
      <c r="E17" t="str">
        <v>Custo Consolidado</v>
      </c>
      <c r="F17" t="str">
        <v>Racional / Origem</v>
      </c>
    </row>
    <row r="18">
      <c r="B18" t="str">
        <v>Custos Administrativos - franquia</v>
      </c>
      <c r="C18">
        <v>1</v>
      </c>
      <c r="D18">
        <f>'Referencias de Custos'!$D$34</f>
        <v>80</v>
      </c>
      <c r="E18">
        <f>C18*D18</f>
        <v>80</v>
      </c>
      <c r="F18" t="str">
        <v>Custo administrativo diluído por cliente</v>
      </c>
    </row>
    <row r="19">
      <c r="B19" t="str">
        <v>BPlen HUB - franquia</v>
      </c>
      <c r="C19">
        <v>1</v>
      </c>
      <c r="D19">
        <f>'Referencias de Custos'!$D$32</f>
        <v>29.082330000000002</v>
      </c>
      <c r="E19">
        <f>C19*D19</f>
        <v>29.082330000000002</v>
      </c>
      <c r="F19" t="str">
        <v>Custo de desenvolvimento do portal diluído</v>
      </c>
    </row>
    <row r="20">
      <c r="B20" t="str">
        <v>Posicionamento de Carreira e-book - franquia</v>
      </c>
      <c r="C20">
        <v>1</v>
      </c>
      <c r="D20">
        <f>'Referencias de Custos'!D31</f>
        <v>50</v>
      </c>
      <c r="E20">
        <f>C20*D20</f>
        <v>50</v>
      </c>
      <c r="F20" t="str">
        <v>Material pedagógico para condução de orientação educacional sobre Posicionamento de Carreira.</v>
      </c>
    </row>
    <row r="21">
      <c r="B21" t="str">
        <v>Honorário (Sessões)</v>
      </c>
      <c r="C21">
        <v>90</v>
      </c>
      <c r="D21">
        <f>'Referencias de Custos'!$D$2</f>
        <v>5.833333333333333</v>
      </c>
      <c r="E21">
        <f>C21*D21</f>
        <v>525</v>
      </c>
      <c r="F21" t="str">
        <v>Posicionamento de Carreira: 1 to 1 (30min), Devolutiva (60min)</v>
      </c>
    </row>
    <row r="22">
      <c r="B22" t="str">
        <v>Subtotal Bruto (Custo Base)</v>
      </c>
      <c r="E22">
        <f>SUM(E18:E21)</f>
        <v>684.08233</v>
      </c>
    </row>
    <row r="23">
      <c r="B23" t="str">
        <v>Margem de Lucro BPlen (20%)</v>
      </c>
      <c r="E23">
        <f>E22*'Custo de Serviços'!$D$1</f>
        <v>136.816466</v>
      </c>
    </row>
    <row r="24">
      <c r="B24" t="str">
        <v>Subtotal + Margem</v>
      </c>
      <c r="E24">
        <f>E22+E23</f>
        <v>820.898796</v>
      </c>
    </row>
    <row r="25">
      <c r="B25" t="str">
        <v>Taxa Checkout Cartão (5% - Margem MP)</v>
      </c>
      <c r="E25">
        <f>E24*'Custo de Serviços'!$D$39</f>
        <v>41.0449398</v>
      </c>
    </row>
    <row r="26">
      <c r="B26" t="str">
        <v>Impostos sobre Venda (8%)</v>
      </c>
      <c r="E26">
        <f>(E24+E25)*'Custo de Serviços'!$D$40</f>
        <v>68.95549886399999</v>
      </c>
    </row>
    <row r="27">
      <c r="B27" t="str">
        <v>Total Consolidado (Cartão)</v>
      </c>
      <c r="E27">
        <f>SUM(E24:E26)</f>
        <v>930.8992346639999</v>
      </c>
    </row>
    <row r="28">
      <c r="B28" t="str">
        <v>Taxa Checkout PIX (1% - MP)</v>
      </c>
      <c r="E28">
        <f>E24*'Custo de Serviços'!$D$46</f>
        <v>8.20898796</v>
      </c>
    </row>
    <row r="29">
      <c r="B29" t="str">
        <v>Impostos sobre Venda PIX (8%)</v>
      </c>
      <c r="E29">
        <f>(E24+E28)*'Custo de Serviços'!$D$47</f>
        <v>66.3286227168</v>
      </c>
    </row>
    <row r="30">
      <c r="B30" t="str">
        <v>Parcelamento Máximo</v>
      </c>
      <c r="C30">
        <v>3</v>
      </c>
      <c r="D30" t="str">
        <v>-</v>
      </c>
      <c r="E30" t="str">
        <v>-</v>
      </c>
    </row>
    <row r="31">
      <c r="B31" t="str">
        <v>Total Consolidado (PIX)</v>
      </c>
      <c r="C31">
        <v>5</v>
      </c>
      <c r="E31">
        <f>SUM(E24,E28:E29)</f>
        <v>895.4364066767998</v>
      </c>
    </row>
    <row r="33">
      <c r="B33" t="str">
        <v>Pacote PLENO</v>
      </c>
    </row>
    <row r="34">
      <c r="B34" t="str">
        <v>Item de Custo</v>
      </c>
      <c r="C34" t="str">
        <v>Unidade</v>
      </c>
      <c r="D34" t="str">
        <v>Custo Unitário</v>
      </c>
      <c r="E34" t="str">
        <v>Custo Consolidado</v>
      </c>
      <c r="F34" t="str">
        <v>Racional / Origem</v>
      </c>
    </row>
    <row r="35">
      <c r="B35" t="str">
        <v>Custos Administrativos - franquia</v>
      </c>
      <c r="C35">
        <v>1</v>
      </c>
      <c r="D35">
        <f>'Referencias de Custos'!$D$34</f>
        <v>80</v>
      </c>
      <c r="E35">
        <f>C35*D35</f>
        <v>80</v>
      </c>
      <c r="F35" t="str">
        <v>Cobrado apenas uma vez por cliente (DEDUPLICADO)</v>
      </c>
    </row>
    <row r="36">
      <c r="B36" t="str">
        <v>BPlen HUB - franquia</v>
      </c>
      <c r="C36">
        <v>1</v>
      </c>
      <c r="D36">
        <f>'Referencias de Custos'!$D$32</f>
        <v>29.082330000000002</v>
      </c>
      <c r="E36">
        <f>C36*D36</f>
        <v>29.082330000000002</v>
      </c>
      <c r="F36" t="str">
        <v>Cobrado apenas uma vez por cliente (DEDUPLICADO)</v>
      </c>
    </row>
    <row r="37">
      <c r="B37" t="str">
        <v>Posicionamento de Carreira e-book - franquia</v>
      </c>
      <c r="C37">
        <v>1</v>
      </c>
      <c r="D37">
        <f>'Referencias de Custos'!D31</f>
        <v>50</v>
      </c>
      <c r="E37">
        <f>C37*D37</f>
        <v>50</v>
      </c>
      <c r="F37" t="str">
        <v>Material pedagógico para condução de orientação educacional sobre Posicionamento de Carreira.</v>
      </c>
    </row>
    <row r="38">
      <c r="B38" t="str">
        <v>Área Membro</v>
      </c>
      <c r="C38">
        <v>1</v>
      </c>
      <c r="D38">
        <f>'Referencias de Custos'!$D$5</f>
        <v>15</v>
      </c>
      <c r="E38">
        <f>C38*D38</f>
        <v>15</v>
      </c>
      <c r="F38" t="str">
        <v>Acesso unificado à Área do Membro</v>
      </c>
    </row>
    <row r="39">
      <c r="B39" t="str">
        <v>Relatório DISC</v>
      </c>
      <c r="C39">
        <v>1</v>
      </c>
      <c r="D39">
        <f>'Referencias de Custos'!$D$13</f>
        <v>160</v>
      </c>
      <c r="E39">
        <f>C39*D39</f>
        <v>160</v>
      </c>
      <c r="F39" t="str">
        <v>Relatório com resultados da avaliação DISC</v>
      </c>
    </row>
    <row r="40">
      <c r="B40" t="str">
        <v>Relatório de Análise Comportamental</v>
      </c>
      <c r="C40">
        <v>1</v>
      </c>
      <c r="D40">
        <f>'Referencias de Custos'!D14</f>
        <v>160</v>
      </c>
      <c r="E40">
        <f>C40*D40</f>
        <v>160</v>
      </c>
      <c r="F40" t="str">
        <v>Relatório da análise e insights do analista referente aos assessments comportamentais cruzados com contexto situacionais do cliente.</v>
      </c>
    </row>
    <row r="41">
      <c r="B41" t="str">
        <v>Honorário (Sessões)</v>
      </c>
      <c r="C41">
        <f>90+120</f>
        <v>210</v>
      </c>
      <c r="D41">
        <f>'Referencias de Custos'!$D$2</f>
        <v>5.833333333333333</v>
      </c>
      <c r="E41">
        <f>C41*D41</f>
        <v>1225</v>
      </c>
      <c r="F41" t="str">
        <v>PC: 90min + AC: 120min (Total: 210 minutos)</v>
      </c>
    </row>
    <row r="42">
      <c r="B42" t="str">
        <v>Honorário - Franquia (Onboarding/Offboarding)</v>
      </c>
      <c r="C42">
        <v>2</v>
      </c>
      <c r="D42">
        <f>'Referencias de Custos'!$D$30</f>
        <v>35</v>
      </c>
      <c r="E42">
        <f>C42*D42</f>
        <v>70</v>
      </c>
      <c r="F42" t="str">
        <v>1x Onboarding (35.00) + 1x Offboarding (35.00)</v>
      </c>
    </row>
    <row r="43">
      <c r="B43" t="str">
        <v>Subtotal Bruto (Custo Base)</v>
      </c>
      <c r="E43">
        <f>SUM(E35:E42)</f>
        <v>1789.08233</v>
      </c>
    </row>
    <row r="44">
      <c r="B44" t="str">
        <v>Margem de Lucro BPlen (20%)</v>
      </c>
      <c r="E44">
        <f>E43*'Custo de Serviços'!$D$1</f>
        <v>357.816466</v>
      </c>
    </row>
    <row r="45">
      <c r="B45" t="str">
        <v>Subtotal + Margem</v>
      </c>
      <c r="E45">
        <f>E43+E44</f>
        <v>2146.898796</v>
      </c>
    </row>
    <row r="46">
      <c r="B46" t="str">
        <v>Taxa Checkout Cartão (5%)</v>
      </c>
      <c r="E46">
        <f>E45*'Custo de Serviços'!$D$39</f>
        <v>107.3449398</v>
      </c>
    </row>
    <row r="47">
      <c r="B47" t="str">
        <v>Impostos sobre Venda (8%)</v>
      </c>
      <c r="E47">
        <f>(E45+E46)*'Custo de Serviços'!$D$40</f>
        <v>180.33949886399998</v>
      </c>
    </row>
    <row r="48">
      <c r="B48" t="str">
        <v>Total Consolidado (Cartão)</v>
      </c>
      <c r="E48">
        <f>SUM(E45:E47)</f>
        <v>2434.5832346639995</v>
      </c>
    </row>
    <row r="49">
      <c r="B49" t="str">
        <v>Taxa Checkout PIX (1%)</v>
      </c>
      <c r="E49">
        <f>E45*'Custo de Serviços'!$D$46</f>
        <v>21.46898796</v>
      </c>
    </row>
    <row r="50">
      <c r="B50" t="str">
        <v>Impostos sobre Venda PIX (8%)</v>
      </c>
      <c r="E50">
        <f>(E45+E49)*'Custo de Serviços'!$D$47</f>
        <v>173.4694227168</v>
      </c>
    </row>
    <row r="51">
      <c r="B51" t="str">
        <v>Parcelamento Máximo</v>
      </c>
      <c r="C51">
        <v>5</v>
      </c>
      <c r="D51" t="str">
        <v>-</v>
      </c>
      <c r="E51" t="str">
        <v>-</v>
      </c>
    </row>
    <row r="52">
      <c r="B52" t="str">
        <v>Total Consolidado (PIX)</v>
      </c>
      <c r="E52">
        <f>SUM(E45,E49:E50)</f>
        <v>2341.8372066768</v>
      </c>
    </row>
    <row r="53">
      <c r="C53">
        <v>7</v>
      </c>
    </row>
    <row r="55">
      <c r="B55" t="str">
        <v>Pacote SENIOR</v>
      </c>
    </row>
    <row r="56">
      <c r="B56" t="str">
        <v>Item de Custo</v>
      </c>
      <c r="C56" t="str">
        <v>Unidade</v>
      </c>
      <c r="D56" t="str">
        <v>Custo Unitário</v>
      </c>
      <c r="E56" t="str">
        <v>Custo Consolidado</v>
      </c>
      <c r="F56" t="str">
        <v>Racional / Origem</v>
      </c>
    </row>
    <row r="57">
      <c r="B57" t="str">
        <v>Custos Administrativos - franquia</v>
      </c>
      <c r="C57">
        <v>1</v>
      </c>
      <c r="D57">
        <f>'Referencias de Custos'!$D$34</f>
        <v>80</v>
      </c>
      <c r="E57">
        <f>C57*D57</f>
        <v>80</v>
      </c>
      <c r="F57" t="str">
        <v>Cobrado apenas uma vez por cliente (DEDUPLICADO)</v>
      </c>
    </row>
    <row r="58">
      <c r="B58" t="str">
        <v>BPlen HUB - franquia</v>
      </c>
      <c r="C58">
        <v>1</v>
      </c>
      <c r="D58">
        <f>'Referencias de Custos'!$D$32</f>
        <v>29.082330000000002</v>
      </c>
      <c r="E58">
        <f>C58*D58</f>
        <v>29.082330000000002</v>
      </c>
      <c r="F58" t="str">
        <v>Cobrado apenas uma vez por cliente (DEDUPLICADO)</v>
      </c>
    </row>
    <row r="59">
      <c r="B59" t="str">
        <v>Posicionamento de Carreira e-book - franquia</v>
      </c>
      <c r="C59">
        <v>1</v>
      </c>
      <c r="D59">
        <f>'Referencias de Custos'!D31</f>
        <v>50</v>
      </c>
      <c r="E59">
        <f>C59*D59</f>
        <v>50</v>
      </c>
      <c r="F59" t="str">
        <v>Material pedagógico para condução de orientação educacional sobre Posicionamento de Carreira.</v>
      </c>
    </row>
    <row r="60">
      <c r="B60" t="str">
        <v>Área Membro</v>
      </c>
      <c r="C60">
        <v>1</v>
      </c>
      <c r="D60">
        <f>'Referencias de Custos'!$D$5</f>
        <v>15</v>
      </c>
      <c r="E60">
        <f>C60*D60</f>
        <v>15</v>
      </c>
      <c r="F60" t="str">
        <v>Acesso unificado à Área do Membro (DEDUPLICADO)</v>
      </c>
    </row>
    <row r="61">
      <c r="B61" t="str">
        <v>Relatório DISC</v>
      </c>
      <c r="C61">
        <v>1</v>
      </c>
      <c r="D61">
        <f>'Referencias de Custos'!$D$13</f>
        <v>160</v>
      </c>
      <c r="E61">
        <f>C61*D61</f>
        <v>160</v>
      </c>
      <c r="F61" t="str">
        <v>Relatório com resultados da avaliação DISC</v>
      </c>
    </row>
    <row r="62">
      <c r="B62" t="str">
        <v>Relatório de Análise Comportamental</v>
      </c>
      <c r="C62">
        <v>1</v>
      </c>
      <c r="D62">
        <f>'Referencias de Custos'!D14</f>
        <v>160</v>
      </c>
      <c r="E62">
        <f>C62*D62</f>
        <v>160</v>
      </c>
      <c r="F62" t="str">
        <v>Relatório da análise e insights do analista referente aos assessments comportamentais cruzados com contexto situacionais do cliente.</v>
      </c>
    </row>
    <row r="63">
      <c r="B63" t="str">
        <v>Relatório PDI</v>
      </c>
      <c r="C63">
        <v>1</v>
      </c>
      <c r="D63">
        <f>'Custo de Serviços'!$E$91</f>
        <v>160</v>
      </c>
      <c r="E63">
        <f>C63*D63</f>
        <v>160</v>
      </c>
      <c r="F63" t="str">
        <v>Relatório do Plano de Desenvolvimento Individual (PDI)</v>
      </c>
    </row>
    <row r="64">
      <c r="B64" t="str">
        <v>Honorário (Sessões)</v>
      </c>
      <c r="C64">
        <f>90+120+180</f>
        <v>390</v>
      </c>
      <c r="D64">
        <f>'Referencias de Custos'!$D$2</f>
        <v>5.833333333333333</v>
      </c>
      <c r="E64">
        <f>C64*D64</f>
        <v>2275</v>
      </c>
      <c r="F64" t="str">
        <v>PC: 90min + AC: 120min + Plano: 180min (Total: 390 minutos)</v>
      </c>
    </row>
    <row r="65">
      <c r="B65" t="str">
        <v>Honorário - Franquia (Onboarding/Offboarding)</v>
      </c>
      <c r="C65">
        <v>2</v>
      </c>
      <c r="D65">
        <f>'Referencias de Custos'!$D$30</f>
        <v>35</v>
      </c>
      <c r="E65">
        <f>C65*D65</f>
        <v>70</v>
      </c>
      <c r="F65" t="str">
        <v>1x Onboarding (35.00) + 1x Offboarding (35.00)</v>
      </c>
    </row>
    <row r="66">
      <c r="B66" t="str">
        <v>Subtotal Bruto (Custo Base)</v>
      </c>
      <c r="E66">
        <f>SUM(E57:E65)</f>
        <v>2999.08233</v>
      </c>
    </row>
    <row r="67">
      <c r="B67" t="str">
        <v>Margem de Lucro BPlen (20%)</v>
      </c>
      <c r="E67">
        <f>E66*'Custo de Serviços'!$D$1</f>
        <v>599.8164660000001</v>
      </c>
    </row>
    <row r="68">
      <c r="B68" t="str">
        <v>Subtotal + Margem</v>
      </c>
      <c r="E68">
        <f>E66+E67</f>
        <v>3598.8987960000004</v>
      </c>
    </row>
    <row r="69">
      <c r="B69" t="str">
        <v>Taxa Checkout Cartão (5%)</v>
      </c>
      <c r="E69">
        <f>E68*'Custo de Serviços'!$D$39</f>
        <v>179.94493980000004</v>
      </c>
    </row>
    <row r="70">
      <c r="B70" t="str">
        <v>Impostos sobre Venda (8%)</v>
      </c>
      <c r="E70">
        <f>(E68+E69)*'Custo de Serviços'!$D$40</f>
        <v>302.307498864</v>
      </c>
    </row>
    <row r="71">
      <c r="B71" t="str">
        <v>Total Consolidado (Cartão)</v>
      </c>
      <c r="E71">
        <f>SUM(E68:E70)</f>
        <v>4081.1512346640006</v>
      </c>
    </row>
    <row r="72">
      <c r="B72" t="str">
        <v>Taxa Checkout PIX (1%)</v>
      </c>
      <c r="E72">
        <f>E68*'Custo de Serviços'!$D$46</f>
        <v>35.98898796</v>
      </c>
    </row>
    <row r="73">
      <c r="B73" t="str">
        <v>Impostos sobre Venda PIX (8%)</v>
      </c>
      <c r="E73">
        <f>(E68+E72)*'Custo de Serviços'!$D$47</f>
        <v>290.79102271680006</v>
      </c>
    </row>
    <row r="74">
      <c r="B74" t="str">
        <v>Parcelamento Máximo</v>
      </c>
      <c r="C74">
        <v>10</v>
      </c>
      <c r="D74" t="str">
        <v>-</v>
      </c>
      <c r="E74" t="str">
        <v>-</v>
      </c>
    </row>
    <row r="75">
      <c r="B75" t="str">
        <v>Total Consolidado (PIX)</v>
      </c>
      <c r="E75">
        <f>SUM(E68,E72:E73)</f>
        <v>3925.6788066768004</v>
      </c>
    </row>
    <row r="77">
      <c r="C77">
        <v>10</v>
      </c>
    </row>
    <row r="78">
      <c r="B78" t="str">
        <v>Pacote LIDER</v>
      </c>
    </row>
    <row r="79">
      <c r="B79" t="str">
        <v>Item de Custo</v>
      </c>
      <c r="C79" t="str">
        <v>Unidade</v>
      </c>
      <c r="D79" t="str">
        <v>Custo Unitário</v>
      </c>
      <c r="E79" t="str">
        <v>Custo Consolidado</v>
      </c>
      <c r="F79" t="str">
        <v>Racional / Origem</v>
      </c>
    </row>
    <row r="80">
      <c r="B80" t="str">
        <v>Custos Administrativos - franquia</v>
      </c>
      <c r="C80">
        <v>1</v>
      </c>
      <c r="D80">
        <f>'Referencias de Custos'!$D$34</f>
        <v>80</v>
      </c>
      <c r="E80">
        <f>C80*D80</f>
        <v>80</v>
      </c>
      <c r="F80" t="str">
        <v>Cobrado apenas uma vez por cliente (DEDUPLICADO)</v>
      </c>
    </row>
    <row r="81">
      <c r="B81" t="str">
        <v>BPlen HUB - franquia</v>
      </c>
      <c r="C81">
        <v>1</v>
      </c>
      <c r="D81">
        <f>'Referencias de Custos'!$D$32</f>
        <v>29.082330000000002</v>
      </c>
      <c r="E81">
        <f>C81*D81</f>
        <v>29.082330000000002</v>
      </c>
      <c r="F81" t="str">
        <v>Cobrado apenas uma vez por cliente (DEDUPLICADO)</v>
      </c>
    </row>
    <row r="82">
      <c r="B82" t="str">
        <v>Posicionamento de Carreira e-book - franquia</v>
      </c>
      <c r="C82">
        <v>1</v>
      </c>
      <c r="D82">
        <f>'Referencias de Custos'!D31</f>
        <v>50</v>
      </c>
      <c r="E82">
        <f>C82*D82</f>
        <v>50</v>
      </c>
      <c r="F82" t="str">
        <v>Material pedagógico para condução de orientação educacional sobre Posicionamento de Carreira.</v>
      </c>
    </row>
    <row r="83">
      <c r="B83" t="str">
        <v>Área Membro</v>
      </c>
      <c r="C83">
        <v>1</v>
      </c>
      <c r="D83">
        <f>'Referencias de Custos'!$D$5</f>
        <v>15</v>
      </c>
      <c r="E83">
        <f>C83*D83</f>
        <v>15</v>
      </c>
      <c r="F83" t="str">
        <v>Acesso unificado à Área do Membro (DEDUPLICADO)</v>
      </c>
    </row>
    <row r="84">
      <c r="B84" t="str">
        <v>Área Membro | GDC Dashboard</v>
      </c>
      <c r="C84">
        <v>1</v>
      </c>
      <c r="D84">
        <f>'Referencias de Custos'!$D$6</f>
        <v>15</v>
      </c>
      <c r="E84">
        <f>C84*D84</f>
        <v>15</v>
      </c>
      <c r="F84" t="str">
        <v>Acesso unificado à Área do Membro GDC</v>
      </c>
    </row>
    <row r="85">
      <c r="B85" t="str">
        <v>GDC e-book - franquia</v>
      </c>
      <c r="C85">
        <v>1</v>
      </c>
      <c r="D85">
        <f>'Referencias de Custos'!$D$29</f>
        <v>200</v>
      </c>
      <c r="E85">
        <f>C85*D85</f>
        <v>200</v>
      </c>
      <c r="F85" t="str">
        <v>Franquia do material didático pedagógico GDC</v>
      </c>
    </row>
    <row r="86">
      <c r="B86" t="str">
        <v>Relatório DISC</v>
      </c>
      <c r="C86">
        <v>1</v>
      </c>
      <c r="D86">
        <f>'Referencias de Custos'!$D$13</f>
        <v>160</v>
      </c>
      <c r="E86">
        <f>C86*D86</f>
        <v>160</v>
      </c>
      <c r="F86" t="str">
        <v>Relatório com resultados da avaliação DISC</v>
      </c>
    </row>
    <row r="87">
      <c r="B87" t="str">
        <v>Relatório de Análise Comportamental</v>
      </c>
      <c r="C87">
        <v>1</v>
      </c>
      <c r="D87">
        <f>'Referencias de Custos'!D14</f>
        <v>160</v>
      </c>
      <c r="E87">
        <f>C87*D87</f>
        <v>160</v>
      </c>
      <c r="F87" t="str">
        <v>Relatório da análise e insights do analista referente aos assessments comportamentais cruzados com contexto situacionais do cliente.</v>
      </c>
    </row>
    <row r="88">
      <c r="B88" t="str">
        <v>Relatório PDI</v>
      </c>
      <c r="C88">
        <v>1</v>
      </c>
      <c r="D88">
        <f>'Custo de Serviços'!$E$91</f>
        <v>160</v>
      </c>
      <c r="E88">
        <f>C88*D88</f>
        <v>160</v>
      </c>
      <c r="F88" t="str">
        <v>Relatório do Plano de Desenvolvimento Individual (PDI)</v>
      </c>
    </row>
    <row r="89">
      <c r="B89" t="str">
        <v>Honorário (Sessões)</v>
      </c>
      <c r="C89">
        <f>90+120+180+1380</f>
        <v>1770</v>
      </c>
      <c r="D89">
        <f>'Referencias de Custos'!$D$2</f>
        <v>5.833333333333333</v>
      </c>
      <c r="E89">
        <f>C89*D89</f>
        <v>10325</v>
      </c>
      <c r="F89" t="str">
        <v>Sessions (PC, AC, Plano, GDC) (Total: 1770 minutos / 29.5 horas)</v>
      </c>
    </row>
    <row r="90">
      <c r="B90" t="str">
        <v>Honorário - Franquia (Onboarding/Offboarding)</v>
      </c>
      <c r="C90">
        <v>2</v>
      </c>
      <c r="D90">
        <f>'Referencias de Custos'!$D$30</f>
        <v>35</v>
      </c>
      <c r="E90">
        <f>C90*D90</f>
        <v>70</v>
      </c>
      <c r="F90" t="str">
        <v>1x Onboarding (35.00) + 1x Offboarding (35.00)</v>
      </c>
    </row>
    <row r="91">
      <c r="B91" t="str">
        <v>Subtotal Bruto (Custo Base)</v>
      </c>
      <c r="E91">
        <f>SUM(E80:E90)</f>
        <v>11264.08233</v>
      </c>
    </row>
    <row r="92">
      <c r="B92" t="str">
        <v>Margem de Lucro BPlen (20%)</v>
      </c>
      <c r="E92">
        <f>E91*'Custo de Serviços'!$D$1</f>
        <v>2252.8164659999998</v>
      </c>
    </row>
    <row r="93">
      <c r="B93" t="str">
        <v>Subtotal + Margem</v>
      </c>
      <c r="E93">
        <f>E91+E92</f>
        <v>13516.898796</v>
      </c>
    </row>
    <row r="94">
      <c r="B94" t="str">
        <v>Taxa Checkout Cartão (5%)</v>
      </c>
      <c r="E94">
        <f>E93*'Custo de Serviços'!$D$39</f>
        <v>675.8449398</v>
      </c>
    </row>
    <row r="95">
      <c r="B95" t="str">
        <v>Impostos sobre Venda (8%)</v>
      </c>
      <c r="E95">
        <f>(E93+E94)*'Custo de Serviços'!$D$40</f>
        <v>1135.419498864</v>
      </c>
    </row>
    <row r="96">
      <c r="B96" t="str">
        <v>Total Consolidado (Cartão)</v>
      </c>
      <c r="E96">
        <f>SUM(E93:E95)</f>
        <v>15328.163234663998</v>
      </c>
    </row>
    <row r="97">
      <c r="B97" t="str">
        <v>Taxa Checkout PIX (1%)</v>
      </c>
      <c r="E97">
        <f>E93*'Custo de Serviços'!$D$46</f>
        <v>135.16898796</v>
      </c>
    </row>
    <row r="98">
      <c r="B98" t="str">
        <v>Impostos sobre Venda PIX (8%)</v>
      </c>
      <c r="E98">
        <f>(E93+E97)*'Custo de Serviços'!$D$47</f>
        <v>1092.1654227167999</v>
      </c>
    </row>
    <row r="99">
      <c r="B99" t="str">
        <v>Parcelamento Máximo</v>
      </c>
      <c r="C99">
        <v>12</v>
      </c>
      <c r="D99" t="str">
        <v>-</v>
      </c>
      <c r="E99" t="str">
        <v>-</v>
      </c>
    </row>
    <row r="100">
      <c r="B100" t="str">
        <v>Total Consolidado (PIX)</v>
      </c>
      <c r="E100">
        <f>SUM(E93,E97:E98)</f>
        <v>14744.2332066768</v>
      </c>
    </row>
    <row r="102">
      <c r="B102" t="str">
        <v>Pacote EMBAIXADOR BPLEN</v>
      </c>
    </row>
    <row r="103">
      <c r="B103" t="str">
        <v>Item de Custo</v>
      </c>
      <c r="C103">
        <v>12</v>
      </c>
      <c r="D103" t="str">
        <v>Custo Unitário</v>
      </c>
      <c r="E103" t="str">
        <v>Custo Consolidado</v>
      </c>
      <c r="F103" t="str">
        <v>Racional / Origem</v>
      </c>
    </row>
    <row r="104">
      <c r="B104" t="str">
        <v>Custos Administrativos - franquia</v>
      </c>
      <c r="C104">
        <v>1</v>
      </c>
      <c r="D104">
        <f>'Referencias de Custos'!$D$34</f>
        <v>80</v>
      </c>
      <c r="E104">
        <f>C104*D104</f>
        <v>80</v>
      </c>
      <c r="F104" t="str">
        <v>Cobrado apenas uma vez por cliente (DEDUPLICADO)</v>
      </c>
    </row>
    <row r="105">
      <c r="B105" t="str">
        <v>BPlen HUB - franquia</v>
      </c>
      <c r="C105">
        <v>1</v>
      </c>
      <c r="D105">
        <f>'Referencias de Custos'!$D$32</f>
        <v>29.082330000000002</v>
      </c>
      <c r="E105">
        <f>C105*D105</f>
        <v>29.082330000000002</v>
      </c>
      <c r="F105" t="str">
        <v>Cobrado apenas uma vez por cliente (DEDUPLICADO)</v>
      </c>
    </row>
    <row r="106">
      <c r="B106" t="str">
        <v>Posicionamento de Carreira e-book - franquia</v>
      </c>
      <c r="C106">
        <v>1</v>
      </c>
      <c r="D106">
        <f>'Referencias de Custos'!D31</f>
        <v>50</v>
      </c>
      <c r="E106">
        <f>C106*D106</f>
        <v>50</v>
      </c>
      <c r="F106" t="str">
        <v>Material pedagógico para condução de orientação educacional sobre Posicionamento de Carreira.</v>
      </c>
    </row>
    <row r="107">
      <c r="B107" t="str">
        <v>Área Membro</v>
      </c>
      <c r="C107">
        <v>1</v>
      </c>
      <c r="D107">
        <f>'Referencias de Custos'!$D$5</f>
        <v>15</v>
      </c>
      <c r="E107">
        <f>C107*D107</f>
        <v>15</v>
      </c>
      <c r="F107" t="str">
        <v>Acesso unificado à Área do Membro (DEDUPLICADO)</v>
      </c>
    </row>
    <row r="108">
      <c r="B108" t="str">
        <v>Área Membro | GDC Dashboard</v>
      </c>
      <c r="C108">
        <v>1</v>
      </c>
      <c r="D108">
        <f>'Referencias de Custos'!$D$6</f>
        <v>15</v>
      </c>
      <c r="E108">
        <f>C108*D108</f>
        <v>15</v>
      </c>
      <c r="F108" t="str">
        <v>Acesso unificado à Área do Membro GDC</v>
      </c>
    </row>
    <row r="109">
      <c r="B109" t="str">
        <v>Área Membro | MentoCoach Dashboard</v>
      </c>
      <c r="C109">
        <v>1</v>
      </c>
      <c r="D109">
        <f>'Custo de Serviços'!E153</f>
        <v>250</v>
      </c>
      <c r="E109">
        <f>C109*D109</f>
        <v>250</v>
      </c>
      <c r="F109" t="str">
        <v>Acesso unificado à Área MentoCoach</v>
      </c>
    </row>
    <row r="110">
      <c r="B110" t="str">
        <v>GDC e-book - franquia</v>
      </c>
      <c r="C110">
        <v>1</v>
      </c>
      <c r="D110">
        <f>'Referencias de Custos'!$D$29</f>
        <v>200</v>
      </c>
      <c r="E110">
        <f>C110*D110</f>
        <v>200</v>
      </c>
      <c r="F110" t="str">
        <v>Franquia do material didático pedagógico GDC</v>
      </c>
    </row>
    <row r="111">
      <c r="B111" t="str">
        <v>Relatório DISC</v>
      </c>
      <c r="C111">
        <v>1</v>
      </c>
      <c r="D111">
        <f>'Referencias de Custos'!$D$13</f>
        <v>160</v>
      </c>
      <c r="E111">
        <f>C111*D111</f>
        <v>160</v>
      </c>
      <c r="F111" t="str">
        <v>DEDUPLICADO com Coaching e Mentoria (cobrado apenas 1x)</v>
      </c>
    </row>
    <row r="112">
      <c r="B112" t="str">
        <v>Relatório de Análise Comportamental</v>
      </c>
      <c r="C112">
        <v>1</v>
      </c>
      <c r="D112">
        <f>'Referencias de Custos'!D14</f>
        <v>160</v>
      </c>
      <c r="E112">
        <f>C112*D112</f>
        <v>160</v>
      </c>
      <c r="F112" t="str">
        <v>Relatório da análise e insights do analista referente aos assessments comportamentais cruzados com contexto situacionais do cliente.</v>
      </c>
    </row>
    <row r="113">
      <c r="B113" t="str">
        <v>Relatório PDI</v>
      </c>
      <c r="C113">
        <v>1</v>
      </c>
      <c r="D113">
        <f>'Custo de Serviços'!$E$91</f>
        <v>160</v>
      </c>
      <c r="E113">
        <f>C113*D113</f>
        <v>160</v>
      </c>
      <c r="F113" t="str">
        <v>Relatório do Plano de Desenvolvimento Individual (PDI)</v>
      </c>
    </row>
    <row r="114">
      <c r="B114" t="str">
        <v>Honorário (Sessões)</v>
      </c>
      <c r="C114">
        <v>2790</v>
      </c>
      <c r="D114">
        <f>'Referencias de Custos'!$D$2</f>
        <v>5.833333333333333</v>
      </c>
      <c r="E114">
        <f>C114*D114</f>
        <v>16275</v>
      </c>
      <c r="F114" t="str">
        <v>Sessions (PC, AC, Plano, GDC, Coaching) (Total: 2790 min / 46.5 horas)</v>
      </c>
    </row>
    <row r="115">
      <c r="B115" t="str">
        <v>Honorário - Franquia (Onboarding/Offboarding)</v>
      </c>
      <c r="C115">
        <v>2</v>
      </c>
      <c r="D115">
        <f>'Referencias de Custos'!$D$30</f>
        <v>35</v>
      </c>
      <c r="E115">
        <f>C115*D115</f>
        <v>70</v>
      </c>
      <c r="F115" t="str">
        <v>1x Onboarding (35.00) + 1x Offboarding (35.00)</v>
      </c>
    </row>
    <row r="116">
      <c r="B116" t="str">
        <v>Subtotal Bruto (Custo Base)</v>
      </c>
      <c r="E116">
        <f>SUM(E104:E115)</f>
        <v>17464.08233</v>
      </c>
    </row>
    <row r="117">
      <c r="B117" t="str">
        <v>Margem de Lucro BPlen (20%)</v>
      </c>
      <c r="E117">
        <f>E116*'Custo de Serviços'!$D$1</f>
        <v>3492.816466</v>
      </c>
    </row>
    <row r="118">
      <c r="B118" t="str">
        <v>Subtotal + Margem</v>
      </c>
      <c r="E118">
        <f>E116+E117</f>
        <v>20956.898796</v>
      </c>
    </row>
    <row r="119">
      <c r="B119" t="str">
        <v>Taxa Checkout Cartão (5%)</v>
      </c>
      <c r="E119">
        <f>E118*'Custo de Serviços'!$D$39</f>
        <v>1047.8449398</v>
      </c>
    </row>
    <row r="120">
      <c r="B120" t="str">
        <v>Impostos sobre Venda (8%)</v>
      </c>
      <c r="E120">
        <f>(E118+E119)*'Custo de Serviços'!$D$40</f>
        <v>1760.3794988640002</v>
      </c>
    </row>
    <row r="121">
      <c r="B121" t="str">
        <v>Total Consolidado (Cartão)</v>
      </c>
      <c r="E121">
        <f>SUM(E118:E120)</f>
        <v>23765.123234664003</v>
      </c>
    </row>
    <row r="122">
      <c r="B122" t="str">
        <v>Taxa Checkout PIX (1%)</v>
      </c>
      <c r="E122">
        <f>E118*'Custo de Serviços'!$D$46</f>
        <v>209.56898796000002</v>
      </c>
    </row>
    <row r="123">
      <c r="B123" t="str">
        <v>Impostos sobre Venda PIX (8%)</v>
      </c>
      <c r="E123">
        <f>(E118+E122)*'Custo de Serviços'!$D$47</f>
        <v>1693.3174227168001</v>
      </c>
    </row>
    <row r="124">
      <c r="B124" t="str">
        <v>Parcelamento Máximo</v>
      </c>
      <c r="C124">
        <v>12</v>
      </c>
      <c r="D124" t="str">
        <v>-</v>
      </c>
      <c r="E124" t="str">
        <v>-</v>
      </c>
    </row>
    <row r="125">
      <c r="B125" t="str">
        <v>Total Consolidado (PIX)</v>
      </c>
      <c r="E125">
        <f>SUM(E118,E122:E123)</f>
        <v>22859.785206676803</v>
      </c>
    </row>
    <row r="129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ignoredErrors>
    <ignoredError numberStoredAsText="1" sqref="B1:J12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G31"/>
  <sheetViews>
    <sheetView workbookViewId="0" rightToLeft="0"/>
  </sheetViews>
  <sheetData>
    <row r="2">
      <c r="D2" t="str">
        <v>BPlen HUB</v>
      </c>
    </row>
    <row r="3">
      <c r="D3" t="str">
        <v>Plano Estratégico de Metas Comerciais &amp; Amortização de Custos (24 Meses)</v>
      </c>
    </row>
    <row r="6">
      <c r="B6" t="str">
        <v>1. Resumo das Franquias de Custos Fixos (Investimentos a Amortizar)</v>
      </c>
    </row>
    <row r="7">
      <c r="B7" t="str">
        <v>Franquia / Custo</v>
      </c>
      <c r="C7" t="str">
        <v>Descrição do Custo Relacionado</v>
      </c>
      <c r="D7" t="str">
        <v>Custo Total Investido</v>
      </c>
      <c r="E7" t="str">
        <v>Meta de Clientes para Diluição</v>
      </c>
      <c r="F7" t="str">
        <v>Valor Diluído Aplicado por Cliente</v>
      </c>
    </row>
    <row r="8">
      <c r="B8" t="str">
        <v>BPlen HUB (CapEx Portal)</v>
      </c>
      <c r="C8" t="str">
        <v>Desenvolvimento do ecossistema e área logada do portal BPlen HUB</v>
      </c>
      <c r="D8">
        <f>'BPlen HUB Custos'!$C$25</f>
        <v>29082.33</v>
      </c>
      <c r="E8">
        <v>1000</v>
      </c>
      <c r="F8">
        <f>D8/E8</f>
        <v>29.082330000000002</v>
      </c>
    </row>
    <row r="9">
      <c r="B9" t="str">
        <v>MentoCoach (Metodologia)</v>
      </c>
      <c r="C9" t="str">
        <v>Metodologia, licença e assessments Coaching IBC</v>
      </c>
      <c r="D9">
        <f>'MentoCoach Custos'!$B$5</f>
        <v>6000</v>
      </c>
      <c r="E9">
        <v>20</v>
      </c>
      <c r="F9">
        <f>D9/E9</f>
        <v>300</v>
      </c>
    </row>
    <row r="10">
      <c r="B10" t="str">
        <v>GDC e-book (Pedagógico)</v>
      </c>
      <c r="C10" t="str">
        <v>Material didático pedagógico de Gestão e Desenvolvimento de Carreira</v>
      </c>
      <c r="D10">
        <f>'Referencias de Custos'!$C$25</f>
        <v>5000</v>
      </c>
      <c r="E10">
        <v>25</v>
      </c>
      <c r="F10">
        <f>D10/E10</f>
        <v>200</v>
      </c>
    </row>
    <row r="11">
      <c r="B11" t="str">
        <v>Posicionamento de Carreira e-book</v>
      </c>
      <c r="C11" t="str">
        <v>Material didático pedagógico de Posicionamento de Carreira</v>
      </c>
      <c r="D11">
        <f>'Referencias de Custos'!D26</f>
        <v>5000</v>
      </c>
      <c r="E11">
        <v>25</v>
      </c>
      <c r="F11">
        <f>D11/E11</f>
        <v>200</v>
      </c>
    </row>
    <row r="12">
      <c r="B12" t="str">
        <v>Custos Administrativos</v>
      </c>
      <c r="C12" t="str">
        <v>Despesas operacionais e administrativas gerais (Anual)</v>
      </c>
      <c r="D12">
        <f>'Custos gerais'!$C$4</f>
        <v>24000</v>
      </c>
      <c r="E12">
        <v>300</v>
      </c>
      <c r="F12">
        <f>D12/E12</f>
        <v>80</v>
      </c>
    </row>
    <row r="13">
      <c r="B13" t="str">
        <v>TOTAL DE INVESTIMENTOS EM FRANQUIAS</v>
      </c>
      <c r="D13">
        <f>SUM(D8:D12)</f>
        <v>69082.33</v>
      </c>
    </row>
    <row r="16">
      <c r="B16" t="str">
        <v>2. Cronograma Sugerido de Metas e Amortização em Fases</v>
      </c>
    </row>
    <row r="17">
      <c r="B17" t="str">
        <v>Fase Estratégica</v>
      </c>
      <c r="C17" t="str">
        <v>Período (Meses)</v>
      </c>
      <c r="D17" t="str">
        <v>Meta Acumulada de Clientes</v>
      </c>
      <c r="E17" t="str">
        <v>Ritmo de Vendas (Clientes/Mês)</v>
      </c>
      <c r="F17" t="str">
        <v>Custos Fixos Amortizados no Período</v>
      </c>
      <c r="G17" t="str">
        <v>Foco Comercial / Pacotes Sugeridos</v>
      </c>
    </row>
    <row r="18">
      <c r="B18" t="str">
        <v>Fase 1: Curto Prazo (Startup)</v>
      </c>
      <c r="C18" t="str">
        <v>1 a 3</v>
      </c>
      <c r="D18">
        <v>25</v>
      </c>
      <c r="E18" t="str">
        <f>E18/3</f>
        <v/>
      </c>
      <c r="F18" t="str">
        <v>Amortização de MentoCoach (20) &amp; GDC e-book (25)</v>
      </c>
      <c r="G18" t="str">
        <v>Foco em Pacotes Pleno e Senior (Validação comercial)</v>
      </c>
    </row>
    <row r="19">
      <c r="B19" t="str">
        <v>Fase 2: Médio Prazo (Breakeven)</v>
      </c>
      <c r="C19" t="str">
        <v>4 a 12</v>
      </c>
      <c r="D19">
        <v>300</v>
      </c>
      <c r="E19" t="str">
        <f>(E19-E18)/9</f>
        <v/>
      </c>
      <c r="F19" t="str">
        <v>Amortização do Custo Administrativo Anual (R$ 24k / 300)</v>
      </c>
      <c r="G19" t="str">
        <v>Foco em Pacotes Senior, Lider e Introdução de Recorrência</v>
      </c>
    </row>
    <row r="20">
      <c r="B20" t="str">
        <v>Fase 3: Longo Prazo (Expansão)</v>
      </c>
      <c r="C20" t="str">
        <v>13 a 24</v>
      </c>
      <c r="D20">
        <v>1000</v>
      </c>
      <c r="E20" t="str">
        <f>(E20-E19)/12</f>
        <v/>
      </c>
      <c r="F20" t="str">
        <v>Amortização do Desenvolvimento BPlen HUB (R$ 29k / 1000)</v>
      </c>
      <c r="G20" t="str">
        <v>Foco em Lider, Embaixador BPlen e Franquias para Parceiros</v>
      </c>
    </row>
    <row r="21">
      <c r="B21" t="str">
        <v>TOTAL GERAL DO PLANO (2 ANOS)</v>
      </c>
      <c r="C21" t="str">
        <v>24 Meses</v>
      </c>
      <c r="D21" t="str">
        <f>E20</f>
        <v/>
      </c>
      <c r="E21" t="str">
        <f>E21/24</f>
        <v/>
      </c>
      <c r="F21" t="str">
        <v>100% de Amortização Concluída!</v>
      </c>
    </row>
    <row r="24">
      <c r="B24" t="str">
        <v>3. Simulador de Viabilidade e Projeção de Faturamento Bruto (Meta 1000 Clientes)</v>
      </c>
    </row>
    <row r="25">
      <c r="B25" t="str">
        <v>Pacote de Serviço</v>
      </c>
      <c r="C25" t="str">
        <v>Preço Sugerido (Venda PIX)</v>
      </c>
      <c r="D25" t="str">
        <v>Mix de Vendas Estimado (%)</v>
      </c>
      <c r="E25" t="str">
        <v>Volume de Vendas (Fase 1-3)</v>
      </c>
      <c r="F25" t="str">
        <v>Projeção de Faturamento Bruto</v>
      </c>
    </row>
    <row r="26">
      <c r="B26" t="str">
        <v>Junior</v>
      </c>
      <c r="C26">
        <f>'Pacotes de Serviço'!$G$8</f>
        <v>895.44</v>
      </c>
      <c r="D26">
        <v>0.1</v>
      </c>
      <c r="E26" t="str">
        <f>D26*$E$31</f>
        <v/>
      </c>
      <c r="F26" t="str">
        <f>C26*E26</f>
        <v/>
      </c>
    </row>
    <row r="27">
      <c r="B27" t="str">
        <v>Pleno</v>
      </c>
      <c r="C27">
        <f>'Pacotes de Serviço'!$G$9</f>
        <v>2341.84</v>
      </c>
      <c r="D27">
        <v>0.3</v>
      </c>
      <c r="E27" t="str">
        <f>D27*$E$31</f>
        <v/>
      </c>
      <c r="F27" t="str">
        <f>C27*E27</f>
        <v/>
      </c>
    </row>
    <row r="28">
      <c r="B28" t="str">
        <v>Senior</v>
      </c>
      <c r="C28">
        <f>'Pacotes de Serviço'!$G$10</f>
        <v>3925.68</v>
      </c>
      <c r="D28">
        <v>0.35</v>
      </c>
      <c r="E28" t="str">
        <f>D28*$E$31</f>
        <v/>
      </c>
      <c r="F28" t="str">
        <f>C28*E28</f>
        <v/>
      </c>
    </row>
    <row r="29">
      <c r="B29" t="str">
        <v>Lider</v>
      </c>
      <c r="C29">
        <f>'Pacotes de Serviço'!$G$11</f>
        <v>14744.23</v>
      </c>
      <c r="D29">
        <v>0.2</v>
      </c>
      <c r="E29" t="str">
        <f>D29*$E$31</f>
        <v/>
      </c>
      <c r="F29" t="str">
        <f>C29*E29</f>
        <v/>
      </c>
    </row>
    <row r="30">
      <c r="B30" t="str">
        <v>Embaixador BPlen</v>
      </c>
      <c r="C30">
        <f>'Pacotes de Serviço'!$G$12</f>
        <v>22859.79</v>
      </c>
      <c r="D30">
        <v>0.05</v>
      </c>
      <c r="E30" t="str">
        <f>D30*$E$31</f>
        <v/>
      </c>
      <c r="F30" t="str">
        <f>C30*E30</f>
        <v/>
      </c>
    </row>
    <row r="31">
      <c r="B31" t="str">
        <v>TOTAL PROJETADO / TARGET GERAL</v>
      </c>
      <c r="D31">
        <f>SUM(D26:D30)</f>
        <v>1</v>
      </c>
      <c r="E31" t="str">
        <f>E21</f>
        <v/>
      </c>
      <c r="F31" t="str">
        <f>SUM(F26:F30)</f>
        <v/>
      </c>
    </row>
  </sheetData>
  <pageMargins left="0.75" right="0.75" top="1" bottom="1" header="0.5" footer="0.5"/>
  <ignoredErrors>
    <ignoredError numberStoredAsText="1" sqref="B1:G3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8"/>
  <sheetViews>
    <sheetView workbookViewId="0" rightToLeft="0"/>
  </sheetViews>
  <sheetData>
    <row r="1">
      <c r="A1" t="str">
        <v>ServiceCode</v>
      </c>
      <c r="B1" t="str">
        <v>Order</v>
      </c>
      <c r="C1" t="str">
        <v>ServiceName</v>
      </c>
    </row>
    <row r="2">
      <c r="A2" t="str">
        <v>BPL-000</v>
      </c>
      <c r="B2">
        <v>2</v>
      </c>
      <c r="C2" t="str">
        <v>Onboarding</v>
      </c>
    </row>
    <row r="3">
      <c r="A3" t="str">
        <v>BPL-001</v>
      </c>
      <c r="B3">
        <v>1</v>
      </c>
      <c r="C3" t="str">
        <v>Posicionamento de Carreira</v>
      </c>
    </row>
    <row r="4">
      <c r="A4" t="str">
        <v>BPL-002</v>
      </c>
      <c r="B4">
        <v>3</v>
      </c>
      <c r="C4" t="str">
        <v>Análise Comportamental</v>
      </c>
    </row>
    <row r="5">
      <c r="A5" t="str">
        <v>BPL-003</v>
      </c>
      <c r="B5">
        <v>4</v>
      </c>
      <c r="C5" t="str">
        <v>Plano de Carreira</v>
      </c>
    </row>
    <row r="6">
      <c r="A6" t="str">
        <v>BPL-004</v>
      </c>
      <c r="B6">
        <v>5</v>
      </c>
      <c r="C6" t="str">
        <v>Gestão e Desenvolvimento de Carreira</v>
      </c>
    </row>
    <row r="7">
      <c r="A7" t="str">
        <v>BPL-005</v>
      </c>
      <c r="B7">
        <v>6</v>
      </c>
      <c r="C7" t="str">
        <v>MentoCoach</v>
      </c>
    </row>
    <row r="8">
      <c r="A8" t="str">
        <v>BPL-006</v>
      </c>
      <c r="B8">
        <v>7</v>
      </c>
      <c r="C8" t="str">
        <v>Offboarding</v>
      </c>
    </row>
  </sheetData>
  <pageMargins left="0.75" right="0.75" top="1" bottom="1" header="0.5" footer="0.5"/>
  <ignoredErrors>
    <ignoredError numberStoredAsText="1" sqref="A1:C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30"/>
  <sheetViews>
    <sheetView workbookViewId="0" rightToLeft="0"/>
  </sheetViews>
  <sheetData>
    <row r="1">
      <c r="A1" t="str">
        <v>ServiceCode</v>
      </c>
      <c r="C1" t="str">
        <v>CheckpointId</v>
      </c>
      <c r="D1" t="str">
        <v>Order</v>
      </c>
      <c r="E1" t="str">
        <v>Title</v>
      </c>
      <c r="F1" t="str">
        <v>Type</v>
      </c>
      <c r="G1" t="str">
        <v>ReferenceId</v>
      </c>
      <c r="H1" t="str">
        <v>Description</v>
      </c>
    </row>
    <row r="2">
      <c r="A2" t="str">
        <v>BPL-000</v>
      </c>
      <c r="B2" t="str">
        <v>Onboarding</v>
      </c>
      <c r="C2" t="str">
        <v>introducao</v>
      </c>
      <c r="D2">
        <v>1</v>
      </c>
      <c r="E2" t="str">
        <v>Introdução</v>
      </c>
      <c r="F2" t="str">
        <v>content</v>
      </c>
      <c r="G2" t="str">
        <v>welcome_video_01</v>
      </c>
      <c r="H2" t="str">
        <v>Conheça o BPlen HUB</v>
      </c>
    </row>
    <row r="3">
      <c r="A3" t="str">
        <v>BPL-000</v>
      </c>
      <c r="B3" t="str">
        <v>Onboarding</v>
      </c>
      <c r="C3" t="str">
        <v>check_in_survey</v>
      </c>
      <c r="D3">
        <v>2</v>
      </c>
      <c r="E3" t="str">
        <v>Check-in</v>
      </c>
      <c r="F3" t="str">
        <v>survey</v>
      </c>
      <c r="G3" t="str">
        <v>check_in</v>
      </c>
      <c r="H3" t="str">
        <v>Pre-mapa do estado atual</v>
      </c>
    </row>
    <row r="4">
      <c r="A4" t="str">
        <v>BPL-000</v>
      </c>
      <c r="B4" t="str">
        <v>Onboarding</v>
      </c>
      <c r="C4" t="str">
        <v>sessao_onboarding</v>
      </c>
      <c r="D4">
        <v>3</v>
      </c>
      <c r="E4" t="str">
        <v>Sessão de Onboarding</v>
      </c>
      <c r="F4" t="str">
        <v>meeting</v>
      </c>
      <c r="G4" t="str">
        <v>onboarding</v>
      </c>
      <c r="H4" t="str">
        <v>Boas-vindas e alinhamento de expectativas</v>
      </c>
    </row>
    <row r="5">
      <c r="A5" t="str">
        <v>BPL-001</v>
      </c>
      <c r="B5" t="str">
        <v>Posicionamento de Carreira</v>
      </c>
      <c r="C5" t="str">
        <v>realizar_desmistificando_candidaturas</v>
      </c>
      <c r="D5">
        <v>1</v>
      </c>
      <c r="E5" t="str">
        <v>Desmistificando: Vagas publicadas e mercado oculto</v>
      </c>
      <c r="F5" t="str">
        <v>survey</v>
      </c>
      <c r="G5" t="str">
        <v>desmistificando_candidaturas</v>
      </c>
      <c r="H5" t="str">
        <v>A realidade do mercado de trabalho</v>
      </c>
    </row>
    <row r="6">
      <c r="A6" t="str">
        <v>BPL-001</v>
      </c>
      <c r="B6" t="str">
        <v>Posicionamento de Carreira</v>
      </c>
      <c r="C6" t="str">
        <v>realizar_pdi_fase1</v>
      </c>
      <c r="D6" t="str">
        <v>2.1</v>
      </c>
      <c r="E6" t="str">
        <v>PDI - Fase 1: Definicao de Objetivos</v>
      </c>
      <c r="F6" t="str">
        <v>survey</v>
      </c>
      <c r="G6" t="str">
        <v>survey_pdi_fase1</v>
      </c>
      <c r="H6" t="str">
        <v>Definicao de objetivos de carreira profissional</v>
      </c>
    </row>
    <row r="7">
      <c r="A7" t="str">
        <v>BPL-001</v>
      </c>
      <c r="B7" t="str">
        <v>Posicionamento de Carreira</v>
      </c>
      <c r="C7" t="str">
        <v>realizar_pdi_fase2</v>
      </c>
      <c r="D7" t="str">
        <v>2.2</v>
      </c>
      <c r="E7" t="str">
        <v>PDI - Fase 2: Selecao de recursos e habilidades</v>
      </c>
      <c r="F7" t="str">
        <v>survey</v>
      </c>
      <c r="G7" t="str">
        <v>survey_pdi_fase2</v>
      </c>
      <c r="H7" t="str">
        <v>Analise de Potencial e Riscos</v>
      </c>
    </row>
    <row r="8">
      <c r="A8" t="str">
        <v>BPL-001</v>
      </c>
      <c r="B8" t="str">
        <v>Posicionamento de Carreira</v>
      </c>
      <c r="C8" t="str">
        <v>realizar_pdi_fase3</v>
      </c>
      <c r="D8" t="str">
        <v>2.3</v>
      </c>
      <c r="E8" t="str">
        <v>PDI - Fase 3: Definicao de metas e ciclos</v>
      </c>
      <c r="F8" t="str">
        <v>survey</v>
      </c>
      <c r="G8" t="str">
        <v>survey_pdi_fase3</v>
      </c>
      <c r="H8" t="str">
        <v>Definicao de metas de curto prazo e ciclos</v>
      </c>
    </row>
    <row r="9">
      <c r="A9" t="str">
        <v>BPL-001</v>
      </c>
      <c r="B9" t="str">
        <v>Posicionamento de Carreira</v>
      </c>
      <c r="C9" t="str">
        <v>realizar_pdi_fase4</v>
      </c>
      <c r="D9" t="str">
        <v>2.4</v>
      </c>
      <c r="E9" t="str">
        <v>PDI - Fase 4: Consolidacao de PDI</v>
      </c>
      <c r="F9" t="str">
        <v>survey</v>
      </c>
      <c r="G9" t="str">
        <v>survey_pdi_fase4</v>
      </c>
      <c r="H9" t="str">
        <v>Consolidacao e carta de compromisso</v>
      </c>
    </row>
    <row r="10">
      <c r="A10" t="str">
        <v>BPL-001</v>
      </c>
      <c r="B10" t="str">
        <v>Posicionamento de Carreira</v>
      </c>
      <c r="C10" t="str">
        <v>realizar_revisao_curriculo</v>
      </c>
      <c r="D10">
        <v>3</v>
      </c>
      <c r="E10" t="str">
        <v>Revisao e elaboracao de CV</v>
      </c>
      <c r="F10" t="str">
        <v>survey</v>
      </c>
      <c r="G10" t="str">
        <v>revisao_curriculo</v>
      </c>
      <c r="H10" t="str">
        <v>Revisao do perfil profissional</v>
      </c>
    </row>
    <row r="11">
      <c r="A11" t="str">
        <v>BPL-001</v>
      </c>
      <c r="B11" t="str">
        <v>Posicionamento de Carreira</v>
      </c>
      <c r="C11" t="str">
        <v>pendente</v>
      </c>
      <c r="D11">
        <v>4</v>
      </c>
      <c r="E11" t="str">
        <v>Preparacao para Entrevistas e Networking</v>
      </c>
      <c r="F11" t="str">
        <v>survey</v>
      </c>
      <c r="G11" t="str">
        <v>pendente</v>
      </c>
      <c r="H11" t="str">
        <v>Preparacao de apresentacao e pitch em entrevistas</v>
      </c>
    </row>
    <row r="12">
      <c r="A12" t="str">
        <v>BPL-001</v>
      </c>
      <c r="B12" t="str">
        <v>Posicionamento de Carreira</v>
      </c>
      <c r="C12" t="str">
        <v>realizar_pre_analise_comportamental</v>
      </c>
      <c r="D12" t="str">
        <v>5.1</v>
      </c>
      <c r="E12" t="str">
        <v>Feedback Tecnico</v>
      </c>
      <c r="F12" t="str">
        <v>survey</v>
      </c>
      <c r="G12" t="str">
        <v>pre_analise_comportamental</v>
      </c>
      <c r="H12" t="str">
        <v>Analise Comportamental Basica</v>
      </c>
    </row>
    <row r="13">
      <c r="A13" t="str">
        <v>BPL-001</v>
      </c>
      <c r="B13" t="str">
        <v>Posicionamento de Carreira</v>
      </c>
      <c r="C13" t="str">
        <v>agendar-orientacao</v>
      </c>
      <c r="D13" t="str">
        <v>5.2</v>
      </c>
      <c r="E13" t="str">
        <v>Feedback Tecnico</v>
      </c>
      <c r="F13" t="str">
        <v>survey</v>
      </c>
      <c r="G13" t="str">
        <v>orientacao-individual-posicionamento</v>
      </c>
      <c r="H13" t="str">
        <v>Sessao individual de feedback do PDI e perfil profissional</v>
      </c>
    </row>
    <row r="14">
      <c r="A14" t="str">
        <v>BPL-002</v>
      </c>
      <c r="B14" t="str">
        <v>Análise Comportamental</v>
      </c>
      <c r="C14" t="str">
        <v>realizar-disc</v>
      </c>
      <c r="D14">
        <v>1</v>
      </c>
      <c r="E14" t="str">
        <v>DISC</v>
      </c>
      <c r="F14" t="str">
        <v>survey</v>
      </c>
      <c r="G14" t="str">
        <v>disc</v>
      </c>
      <c r="H14" t="str">
        <v>Avaliação de Perfil Comportamental</v>
      </c>
    </row>
    <row r="15">
      <c r="A15" t="str">
        <v>BPL-002</v>
      </c>
      <c r="B15" t="str">
        <v>Análise Comportamental</v>
      </c>
      <c r="C15" t="str">
        <v>realizar_preferencias_reconhecimento</v>
      </c>
      <c r="D15">
        <v>2</v>
      </c>
      <c r="E15" t="str">
        <v>Preferências de Reconhecimento</v>
      </c>
      <c r="F15" t="str">
        <v>survey</v>
      </c>
      <c r="G15" t="str">
        <v>preferencias_reconhecimento</v>
      </c>
      <c r="H15" t="str">
        <v>Mapa de preferências de reconhecimento interpessoal</v>
      </c>
    </row>
    <row r="16">
      <c r="A16" t="str">
        <v>BPL-002</v>
      </c>
      <c r="B16" t="str">
        <v>Análise Comportamental</v>
      </c>
      <c r="C16" t="str">
        <v>realizar_preferencias_aprendizado</v>
      </c>
      <c r="D16">
        <v>3</v>
      </c>
      <c r="E16" t="str">
        <v>Preferências de Aprendizado</v>
      </c>
      <c r="F16" t="str">
        <v>survey</v>
      </c>
      <c r="G16" t="str">
        <v>preferencias_aprendizado</v>
      </c>
      <c r="H16" t="str">
        <v>Mapa de preferências de formas e habitos de aprendizado</v>
      </c>
    </row>
    <row r="17">
      <c r="A17" t="str">
        <v>BPL-002</v>
      </c>
      <c r="B17" t="str">
        <v>Análise Comportamental</v>
      </c>
      <c r="C17" t="str">
        <v>realizar_gestao_tempo</v>
      </c>
      <c r="D17">
        <v>4</v>
      </c>
      <c r="E17" t="str">
        <v>Mapa de Gestão de Tempo</v>
      </c>
      <c r="F17" t="str">
        <v>survey</v>
      </c>
      <c r="G17" t="str">
        <v>gestao_tempo</v>
      </c>
      <c r="H17" t="str">
        <v>Mapa de habitos de priorização de tarefas e tempo</v>
      </c>
    </row>
    <row r="18">
      <c r="A18" t="str">
        <v>BPL-002</v>
      </c>
      <c r="B18" t="str">
        <v>Análise Comportamental</v>
      </c>
      <c r="C18" t="str">
        <v>agendar-devolutiva</v>
      </c>
      <c r="D18">
        <v>5</v>
      </c>
      <c r="E18" t="str">
        <v>Devolutiva de Análise</v>
      </c>
      <c r="F18" t="str">
        <v>meeting</v>
      </c>
      <c r="G18" t="str">
        <v>devolutiva-analise-comportamental</v>
      </c>
      <c r="H18" t="str">
        <v>Sessão individual de Devolutiva Comportamental</v>
      </c>
    </row>
    <row r="19">
      <c r="A19" t="str">
        <v>BPL-003</v>
      </c>
      <c r="B19" t="str">
        <v>Plano de Carreira</v>
      </c>
      <c r="C19" t="str">
        <v>realizar_survey_plano_acordos</v>
      </c>
      <c r="D19">
        <v>1</v>
      </c>
      <c r="E19" t="str">
        <v>Avisos e Acordos</v>
      </c>
      <c r="F19" t="str">
        <v>survey</v>
      </c>
      <c r="G19" t="str">
        <v>survey_plano_acordos</v>
      </c>
      <c r="H19" t="str">
        <v>Avisos e cordos do processo</v>
      </c>
    </row>
    <row r="20">
      <c r="A20" t="str">
        <v>BPL-003</v>
      </c>
      <c r="B20" t="str">
        <v>Plano de Carreira</v>
      </c>
      <c r="C20" t="str">
        <v>realizar_survey_plano_fase1</v>
      </c>
      <c r="D20">
        <v>2</v>
      </c>
      <c r="E20" t="str">
        <v>Definição de Objetivos</v>
      </c>
      <c r="F20" t="str">
        <v>survey</v>
      </c>
      <c r="G20" t="str">
        <v>survey_plano_fase1</v>
      </c>
      <c r="H20" t="str">
        <v>Definição de objetivos de carreira profissional</v>
      </c>
    </row>
    <row r="21">
      <c r="A21" t="str">
        <v>BPL-003</v>
      </c>
      <c r="B21" t="str">
        <v>Plano de Carreira</v>
      </c>
      <c r="C21" t="str">
        <v>realizar_survey_plano_fase2</v>
      </c>
      <c r="D21">
        <v>3</v>
      </c>
      <c r="E21" t="str">
        <v>Seleção de Recursos</v>
      </c>
      <c r="F21" t="str">
        <v>survey</v>
      </c>
      <c r="G21" t="str">
        <v>survey_plano_fase2</v>
      </c>
      <c r="H21" t="str">
        <v>Seleção de recursos para utilização durante a jornada</v>
      </c>
    </row>
    <row r="22">
      <c r="A22" t="str">
        <v>BPL-003</v>
      </c>
      <c r="B22" t="str">
        <v>Plano de Carreira</v>
      </c>
      <c r="C22" t="str">
        <v>realizar_survey_plano_fase3</v>
      </c>
      <c r="D22">
        <v>4</v>
      </c>
      <c r="E22" t="str">
        <v>Plano de Ação</v>
      </c>
      <c r="F22" t="str">
        <v>survey</v>
      </c>
      <c r="G22" t="str">
        <v>survey_plano_fase3</v>
      </c>
      <c r="H22" t="str">
        <v>Plano de ação para manter foco e ritmo</v>
      </c>
    </row>
    <row r="23">
      <c r="A23" t="str">
        <v>BPL-003</v>
      </c>
      <c r="B23" t="str">
        <v>Plano de Carreira</v>
      </c>
      <c r="C23" t="str">
        <v>realizar_survey_plano_fase4</v>
      </c>
      <c r="D23">
        <v>5</v>
      </c>
      <c r="E23" t="str">
        <v>Consolidação do Plano</v>
      </c>
      <c r="F23" t="str">
        <v>survey</v>
      </c>
      <c r="G23" t="str">
        <v>survey_plano_fase4</v>
      </c>
      <c r="H23" t="str">
        <v>Consolidação do plano para ativação assertiva</v>
      </c>
    </row>
    <row r="24">
      <c r="A24" t="str">
        <v>BPL-003</v>
      </c>
      <c r="B24" t="str">
        <v>Plano de Carreira</v>
      </c>
      <c r="C24" t="str">
        <v>agendar-devolutiva-plano</v>
      </c>
      <c r="D24" t="str">
        <v>6.1</v>
      </c>
      <c r="E24" t="str">
        <v>Devolutiva do Plano</v>
      </c>
      <c r="F24" t="str">
        <v>survey</v>
      </c>
      <c r="G24" t="str">
        <v>survey_agendamento_devolutiva</v>
      </c>
      <c r="H24" t="str">
        <v>Organização de materiais para sessão de devolutiva do plano</v>
      </c>
    </row>
    <row r="25">
      <c r="A25" t="str">
        <v>BPL-003</v>
      </c>
      <c r="B25" t="str">
        <v>Plano de Carreira</v>
      </c>
      <c r="C25" t="str">
        <v>agendar-devolutiva-plano</v>
      </c>
      <c r="D25" t="str">
        <v>6.2</v>
      </c>
      <c r="E25" t="str">
        <v>Devolutiva do Plano</v>
      </c>
      <c r="F25" t="str">
        <v>meeting</v>
      </c>
      <c r="G25" t="str">
        <v>devolutiva-plano-carreira</v>
      </c>
      <c r="H25" t="str">
        <v>Sessão individual de devolutiva do plano</v>
      </c>
    </row>
    <row r="26">
      <c r="A26" t="str">
        <v>BPL-004</v>
      </c>
      <c r="B26" t="str">
        <v>Gestão e Desenvolvimento de Carreira</v>
      </c>
      <c r="C26" t="str">
        <v>gdc-form</v>
      </c>
      <c r="D26">
        <v>1</v>
      </c>
      <c r="E26" t="str">
        <v>Gestão de Carreira</v>
      </c>
      <c r="F26" t="str">
        <v>form</v>
      </c>
      <c r="G26" t="str">
        <v>gdc</v>
      </c>
      <c r="H26" t="str">
        <v>Formulário de acompanhamento GDC.</v>
      </c>
    </row>
    <row r="27">
      <c r="A27" t="str">
        <v>BPL-004</v>
      </c>
      <c r="B27" t="str">
        <v>Gestão e Desenvolvimento de Carreira</v>
      </c>
      <c r="C27" t="str">
        <v>agendar-mentorias</v>
      </c>
      <c r="D27">
        <v>2</v>
      </c>
      <c r="E27" t="str">
        <v>Agendar Mentorias</v>
      </c>
      <c r="F27" t="str">
        <v>meeting</v>
      </c>
      <c r="G27" t="str">
        <v>gdc-mentorias</v>
      </c>
      <c r="H27" t="str">
        <v>Agendamento de sessões periódicas de mentoria.</v>
      </c>
    </row>
    <row r="28">
      <c r="A28" t="str">
        <v>BPL-005</v>
      </c>
      <c r="B28" t="str">
        <v>MentoCoach</v>
      </c>
      <c r="C28" t="str">
        <v>mentocoach-form</v>
      </c>
      <c r="D28">
        <v>1</v>
      </c>
      <c r="E28" t="str">
        <v>Acompanhamento MentoCoach</v>
      </c>
      <c r="F28" t="str">
        <v>form</v>
      </c>
      <c r="G28" t="str">
        <v>mentocoach</v>
      </c>
      <c r="H28" t="str">
        <v>Formulário de autoavaliação MentoCoach.</v>
      </c>
    </row>
    <row r="29">
      <c r="A29" t="str">
        <v>BPL-005</v>
      </c>
      <c r="B29" t="str">
        <v>MentoCoach</v>
      </c>
      <c r="C29" t="str">
        <v>agendar-sessoes</v>
      </c>
      <c r="D29">
        <v>2</v>
      </c>
      <c r="E29" t="str">
        <v>Agendar Sessões de Coaching</v>
      </c>
      <c r="F29" t="str">
        <v>meeting</v>
      </c>
      <c r="G29" t="str">
        <v>mentocoach-sessoes</v>
      </c>
      <c r="H29" t="str">
        <v>Agendamento das sessões individuais de coaching de alta performance.</v>
      </c>
    </row>
    <row r="30">
      <c r="A30" t="str">
        <v>BPL-006</v>
      </c>
      <c r="B30" t="str">
        <v>Offboarding</v>
      </c>
      <c r="C30" t="str">
        <v>offboarding-survey</v>
      </c>
      <c r="D30">
        <v>1</v>
      </c>
      <c r="E30" t="str">
        <v>Avaliação Final</v>
      </c>
      <c r="F30" t="str">
        <v>survey</v>
      </c>
      <c r="G30" t="str">
        <v>offboarding_survey</v>
      </c>
      <c r="H30" t="str">
        <v>Pesquisa de encerramento e consolidação de resultados.</v>
      </c>
    </row>
  </sheetData>
  <ignoredErrors>
    <ignoredError numberStoredAsText="1" sqref="A1:H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2026-06-18T16:01:41Z</dcterms:created>
  <dcterms:modified xsi:type="dcterms:W3CDTF">2026-06-21T14:23:56Z</dcterms:modified>
  <cp:lastModifiedBy>Lisandra Lencinna</cp:lastModifiedBy>
  <dc:creator>Lisandra Lencinna</dc:creator>
</cp:coreProperties>
</file>