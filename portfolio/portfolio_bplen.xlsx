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5263ad85f0b2806/Área de Trabalho/"/>
    </mc:Choice>
  </mc:AlternateContent>
  <xr:revisionPtr revIDLastSave="17" documentId="13_ncr:1_{F81CA3F6-CAAD-4972-8BAA-B84E223D9BB3}" xr6:coauthVersionLast="47" xr6:coauthVersionMax="47" xr10:uidLastSave="{4202CD59-E623-4657-B6F3-F3FF60DF2EBF}"/>
  <bookViews>
    <workbookView xWindow="-120" yWindow="-120" windowWidth="29040" windowHeight="15990" firstSheet="2" activeTab="8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</sheet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6" l="1"/>
  <c r="E113" i="6" s="1"/>
  <c r="D112" i="6"/>
  <c r="E112" i="6" s="1"/>
  <c r="D109" i="6"/>
  <c r="E109" i="6" s="1"/>
  <c r="C89" i="6"/>
  <c r="D88" i="6"/>
  <c r="E88" i="6" s="1"/>
  <c r="C64" i="6"/>
  <c r="D63" i="6"/>
  <c r="E63" i="6" s="1"/>
  <c r="C41" i="6"/>
  <c r="D38" i="6"/>
  <c r="E38" i="6" s="1"/>
  <c r="I12" i="6"/>
  <c r="J12" i="6" s="1"/>
  <c r="H12" i="6"/>
  <c r="I11" i="6"/>
  <c r="J11" i="6" s="1"/>
  <c r="H11" i="6"/>
  <c r="I10" i="6"/>
  <c r="J10" i="6" s="1"/>
  <c r="H10" i="6"/>
  <c r="I9" i="6"/>
  <c r="J9" i="6" s="1"/>
  <c r="H9" i="6"/>
  <c r="I8" i="6"/>
  <c r="J8" i="6" s="1"/>
  <c r="H8" i="6"/>
  <c r="E172" i="5"/>
  <c r="D172" i="5"/>
  <c r="E170" i="5"/>
  <c r="E164" i="5"/>
  <c r="E163" i="5"/>
  <c r="E143" i="5"/>
  <c r="D143" i="5" s="1"/>
  <c r="E141" i="5"/>
  <c r="E135" i="5"/>
  <c r="E134" i="5"/>
  <c r="E124" i="5"/>
  <c r="E112" i="5"/>
  <c r="D112" i="5"/>
  <c r="E110" i="5"/>
  <c r="E104" i="5"/>
  <c r="E103" i="5"/>
  <c r="E82" i="5"/>
  <c r="D82" i="5" s="1"/>
  <c r="E80" i="5"/>
  <c r="E74" i="5"/>
  <c r="E73" i="5"/>
  <c r="E63" i="5"/>
  <c r="E51" i="5"/>
  <c r="D51" i="5"/>
  <c r="E49" i="5"/>
  <c r="E43" i="5"/>
  <c r="E42" i="5"/>
  <c r="E32" i="5"/>
  <c r="E24" i="5"/>
  <c r="C34" i="4"/>
  <c r="D34" i="4" s="1"/>
  <c r="C33" i="4"/>
  <c r="D33" i="4" s="1"/>
  <c r="C32" i="4"/>
  <c r="D32" i="4" s="1"/>
  <c r="D31" i="4"/>
  <c r="D37" i="6" s="1"/>
  <c r="E37" i="6" s="1"/>
  <c r="C31" i="4"/>
  <c r="C30" i="4"/>
  <c r="D30" i="4" s="1"/>
  <c r="D29" i="4"/>
  <c r="D110" i="6" s="1"/>
  <c r="E110" i="6" s="1"/>
  <c r="D26" i="4"/>
  <c r="D11" i="7" s="1"/>
  <c r="F11" i="7" s="1"/>
  <c r="D25" i="4"/>
  <c r="D18" i="4"/>
  <c r="D15" i="4"/>
  <c r="D14" i="4"/>
  <c r="D87" i="6" s="1"/>
  <c r="E87" i="6" s="1"/>
  <c r="D13" i="4"/>
  <c r="D111" i="6" s="1"/>
  <c r="E111" i="6" s="1"/>
  <c r="D10" i="4"/>
  <c r="D9" i="4"/>
  <c r="D6" i="4"/>
  <c r="D84" i="6" s="1"/>
  <c r="E84" i="6" s="1"/>
  <c r="D5" i="4"/>
  <c r="D107" i="6" s="1"/>
  <c r="E107" i="6" s="1"/>
  <c r="D2" i="4"/>
  <c r="D41" i="6" s="1"/>
  <c r="C25" i="2"/>
  <c r="D8" i="7" s="1"/>
  <c r="C21" i="2"/>
  <c r="D20" i="2"/>
  <c r="D21" i="2" s="1"/>
  <c r="D4" i="1"/>
  <c r="D31" i="7"/>
  <c r="C30" i="7"/>
  <c r="C29" i="7"/>
  <c r="C28" i="7"/>
  <c r="C27" i="7"/>
  <c r="C26" i="7"/>
  <c r="F12" i="7"/>
  <c r="D12" i="7"/>
  <c r="D10" i="7"/>
  <c r="F10" i="7" s="1"/>
  <c r="F9" i="7"/>
  <c r="D9" i="7"/>
  <c r="E41" i="6" l="1"/>
  <c r="E64" i="5"/>
  <c r="D115" i="6"/>
  <c r="E115" i="6" s="1"/>
  <c r="D90" i="6"/>
  <c r="E90" i="6" s="1"/>
  <c r="D65" i="6"/>
  <c r="E65" i="6" s="1"/>
  <c r="E93" i="5"/>
  <c r="E125" i="5"/>
  <c r="D42" i="6"/>
  <c r="E42" i="6" s="1"/>
  <c r="D58" i="6"/>
  <c r="E58" i="6" s="1"/>
  <c r="D36" i="6"/>
  <c r="E36" i="6" s="1"/>
  <c r="D19" i="6"/>
  <c r="E19" i="6" s="1"/>
  <c r="D105" i="6"/>
  <c r="E105" i="6" s="1"/>
  <c r="D81" i="6"/>
  <c r="E81" i="6" s="1"/>
  <c r="D13" i="7"/>
  <c r="F8" i="7"/>
  <c r="D57" i="6"/>
  <c r="E57" i="6" s="1"/>
  <c r="D35" i="6"/>
  <c r="E35" i="6" s="1"/>
  <c r="D18" i="6"/>
  <c r="E18" i="6" s="1"/>
  <c r="D104" i="6"/>
  <c r="E104" i="6" s="1"/>
  <c r="D80" i="6"/>
  <c r="E80" i="6" s="1"/>
  <c r="E65" i="5"/>
  <c r="D59" i="6"/>
  <c r="E59" i="6" s="1"/>
  <c r="D108" i="6"/>
  <c r="E108" i="6" s="1"/>
  <c r="E33" i="5"/>
  <c r="E34" i="5" s="1"/>
  <c r="E35" i="5" s="1"/>
  <c r="E36" i="5" s="1"/>
  <c r="E155" i="5"/>
  <c r="E156" i="5" s="1"/>
  <c r="E157" i="5" s="1"/>
  <c r="E158" i="5" s="1"/>
  <c r="E6" i="5"/>
  <c r="E7" i="5" s="1"/>
  <c r="E8" i="5" s="1"/>
  <c r="E9" i="5" s="1"/>
  <c r="E123" i="5"/>
  <c r="E126" i="5" s="1"/>
  <c r="E127" i="5" s="1"/>
  <c r="E128" i="5" s="1"/>
  <c r="D39" i="6"/>
  <c r="E39" i="6" s="1"/>
  <c r="D60" i="6"/>
  <c r="E60" i="6" s="1"/>
  <c r="D85" i="6"/>
  <c r="E85" i="6" s="1"/>
  <c r="D64" i="6"/>
  <c r="E64" i="6" s="1"/>
  <c r="D89" i="6"/>
  <c r="E89" i="6" s="1"/>
  <c r="E92" i="5"/>
  <c r="E95" i="5" s="1"/>
  <c r="E96" i="5" s="1"/>
  <c r="E97" i="5" s="1"/>
  <c r="D40" i="6"/>
  <c r="E40" i="6" s="1"/>
  <c r="D61" i="6"/>
  <c r="E61" i="6" s="1"/>
  <c r="D82" i="6"/>
  <c r="E82" i="6" s="1"/>
  <c r="D86" i="6"/>
  <c r="E86" i="6" s="1"/>
  <c r="D106" i="6"/>
  <c r="E106" i="6" s="1"/>
  <c r="D114" i="6"/>
  <c r="E114" i="6" s="1"/>
  <c r="D20" i="6"/>
  <c r="E20" i="6" s="1"/>
  <c r="D62" i="6"/>
  <c r="E62" i="6" s="1"/>
  <c r="D83" i="6"/>
  <c r="E83" i="6" s="1"/>
  <c r="D21" i="6"/>
  <c r="E21" i="6" s="1"/>
  <c r="E116" i="6" l="1"/>
  <c r="E117" i="6" s="1"/>
  <c r="E12" i="6" s="1"/>
  <c r="E39" i="5"/>
  <c r="E40" i="5" s="1"/>
  <c r="E46" i="5"/>
  <c r="E47" i="5" s="1"/>
  <c r="E138" i="5"/>
  <c r="E139" i="5" s="1"/>
  <c r="E131" i="5"/>
  <c r="E132" i="5" s="1"/>
  <c r="E12" i="5"/>
  <c r="E19" i="5"/>
  <c r="E173" i="5"/>
  <c r="D173" i="5" s="1"/>
  <c r="E66" i="5"/>
  <c r="E67" i="5" s="1"/>
  <c r="E22" i="6"/>
  <c r="E160" i="5"/>
  <c r="E161" i="5" s="1"/>
  <c r="E167" i="5"/>
  <c r="E168" i="5" s="1"/>
  <c r="E91" i="6"/>
  <c r="E43" i="6"/>
  <c r="E66" i="6"/>
  <c r="E107" i="5"/>
  <c r="E108" i="5" s="1"/>
  <c r="E100" i="5"/>
  <c r="E101" i="5" s="1"/>
  <c r="D12" i="6" l="1"/>
  <c r="D9" i="6"/>
  <c r="E44" i="6"/>
  <c r="E9" i="6" s="1"/>
  <c r="E77" i="5"/>
  <c r="E78" i="5" s="1"/>
  <c r="E70" i="5"/>
  <c r="E71" i="5" s="1"/>
  <c r="E20" i="5"/>
  <c r="E21" i="5" s="1"/>
  <c r="E13" i="5"/>
  <c r="E14" i="5" s="1"/>
  <c r="E15" i="5" s="1"/>
  <c r="E118" i="6"/>
  <c r="D11" i="6"/>
  <c r="E92" i="6"/>
  <c r="E11" i="6" s="1"/>
  <c r="D10" i="6"/>
  <c r="E67" i="6"/>
  <c r="E10" i="6" s="1"/>
  <c r="E23" i="6"/>
  <c r="E8" i="6" s="1"/>
  <c r="D8" i="6"/>
  <c r="E24" i="6" l="1"/>
  <c r="E22" i="5"/>
  <c r="D24" i="5"/>
  <c r="E93" i="6"/>
  <c r="E68" i="6"/>
  <c r="E122" i="6"/>
  <c r="E119" i="6"/>
  <c r="E120" i="6" s="1"/>
  <c r="E121" i="6" s="1"/>
  <c r="E45" i="6"/>
  <c r="E29" i="6" l="1"/>
  <c r="E25" i="6"/>
  <c r="E26" i="6" s="1"/>
  <c r="E28" i="6"/>
  <c r="E123" i="6"/>
  <c r="E125" i="6" s="1"/>
  <c r="E72" i="6"/>
  <c r="E73" i="6" s="1"/>
  <c r="E69" i="6"/>
  <c r="E70" i="6" s="1"/>
  <c r="E71" i="6" s="1"/>
  <c r="E97" i="6"/>
  <c r="E94" i="6"/>
  <c r="E46" i="6"/>
  <c r="E47" i="6" s="1"/>
  <c r="E48" i="6" s="1"/>
  <c r="E49" i="6"/>
  <c r="E50" i="6" s="1"/>
  <c r="E27" i="6" l="1"/>
  <c r="E31" i="6"/>
  <c r="E75" i="6"/>
  <c r="E95" i="6"/>
  <c r="E96" i="6" s="1"/>
  <c r="E52" i="6"/>
  <c r="E98" i="6"/>
  <c r="E100" i="6" s="1"/>
  <c r="F27" i="7"/>
  <c r="E27" i="7"/>
  <c r="F30" i="7"/>
  <c r="E30" i="7"/>
  <c r="F29" i="7"/>
  <c r="E29" i="7"/>
  <c r="E19" i="7"/>
  <c r="E18" i="7"/>
  <c r="F28" i="7"/>
  <c r="E28" i="7"/>
  <c r="E20" i="7"/>
  <c r="D21" i="7"/>
  <c r="E21" i="7"/>
  <c r="E31" i="7"/>
  <c r="E26" i="7"/>
  <c r="F26" i="7"/>
  <c r="F31" i="7"/>
</calcChain>
</file>

<file path=xl/sharedStrings.xml><?xml version="1.0" encoding="utf-8"?>
<sst xmlns="http://schemas.openxmlformats.org/spreadsheetml/2006/main" count="829" uniqueCount="374">
  <si>
    <t>BPlen HUB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</si>
  <si>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</si>
  <si>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</si>
  <si>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</si>
  <si>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</si>
  <si>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</si>
  <si>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</si>
  <si>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</si>
  <si>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</si>
  <si>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</si>
  <si>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</si>
  <si>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</si>
  <si>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</si>
  <si>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</si>
  <si>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Posicionamento de Carreira e-book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</si>
  <si>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</si>
  <si>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</si>
  <si>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</si>
  <si>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</si>
  <si>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</si>
  <si>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</si>
  <si>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</si>
  <si>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</si>
  <si>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</si>
  <si>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</si>
  <si>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</si>
  <si>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</si>
  <si>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</si>
  <si>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</si>
  <si>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</si>
  <si>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</si>
  <si>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</si>
  <si>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</si>
  <si>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</si>
  <si>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</si>
  <si>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</si>
  <si>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</si>
  <si>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</si>
  <si>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</si>
  <si>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</si>
  <si>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</si>
  <si>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</si>
  <si>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</si>
  <si>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</si>
  <si>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</si>
  <si>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</si>
  <si>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</si>
  <si>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Junior</t>
  </si>
  <si>
    <t>Pleno</t>
  </si>
  <si>
    <t>Senior</t>
  </si>
  <si>
    <t>Lider</t>
  </si>
  <si>
    <t>Embaixador BPlen</t>
  </si>
  <si>
    <t>TOTAL PROJETADO / TARGET GERAL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</si>
  <si>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</si>
  <si>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</si>
  <si>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</si>
  <si>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</si>
  <si>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</si>
  <si>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</si>
  <si>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</si>
  <si>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</si>
  <si>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</si>
  <si>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</si>
  <si>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</si>
  <si>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</si>
  <si>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</si>
  <si>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</si>
  <si>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</si>
  <si>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</si>
  <si>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</si>
  <si>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</si>
  <si>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</si>
  <si>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</si>
  <si>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</si>
  <si>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</si>
  <si>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</si>
  <si>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</si>
  <si>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</si>
  <si>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</si>
  <si>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</si>
  <si>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</si>
  <si>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</si>
  <si>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</si>
  <si>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</si>
  <si>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</si>
  <si>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</si>
  <si>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</si>
  <si>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</si>
  <si>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</si>
  <si>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</si>
  <si>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</si>
  <si>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</si>
  <si>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</si>
  <si>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</si>
  <si>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</si>
  <si>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</si>
  <si>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</si>
  <si>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</si>
  <si>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</si>
  <si>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</si>
  <si>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</si>
  <si>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</si>
  <si>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</si>
  <si>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</si>
  <si>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</si>
  <si>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</si>
  <si>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</si>
  <si>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</si>
  <si>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</si>
  <si>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</si>
  <si>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</si>
  <si>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</si>
  <si>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Ecossistema BPlen HUB | Area logada que oferece diversos recursos para consumo dos serviços Bplen e tornar a experiencia do cliente mais fluida e confiável aliado a tecnologia.</t>
  </si>
  <si>
    <t>MentoCoach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</si>
  <si>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</si>
  <si>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</si>
  <si>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</si>
  <si>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</si>
  <si>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</si>
  <si>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</si>
  <si>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</si>
  <si>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</si>
  <si>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</si>
  <si>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</si>
  <si>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</si>
  <si>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</si>
  <si>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</si>
  <si>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</si>
  <si>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</si>
  <si>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</si>
  <si>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</si>
  <si>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</si>
  <si>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</si>
  <si>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</si>
  <si>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</si>
  <si>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</si>
  <si>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</si>
  <si>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</si>
  <si>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</si>
  <si>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</si>
  <si>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</si>
  <si>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</si>
  <si>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</si>
  <si>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</si>
  <si>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</si>
  <si>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</si>
  <si>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</si>
  <si>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</si>
  <si>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</si>
  <si>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</si>
  <si>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</si>
  <si>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</si>
  <si>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</si>
  <si>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</si>
  <si>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</si>
  <si>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</si>
  <si>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</si>
  <si>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</si>
  <si>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</si>
  <si>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</si>
  <si>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</si>
  <si>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</si>
  <si>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</si>
  <si>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Posicionamento de Carreira</t>
  </si>
  <si>
    <t>1 to 1 (30min), Devolutiva (60min)</t>
  </si>
  <si>
    <t>Sim</t>
  </si>
  <si>
    <t>Análise Comportamental</t>
  </si>
  <si>
    <t>Análise Comportamental (60min), Devolutiva Comportamental (60min)</t>
  </si>
  <si>
    <t>Onboarding (60min), Offboarding (60min)</t>
  </si>
  <si>
    <t>Plano de Carreira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</si>
  <si>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</si>
  <si>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</si>
  <si>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</si>
  <si>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</si>
  <si>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Gestão e Desenvolvimento de Carreira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</si>
  <si>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</si>
  <si>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</si>
  <si>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</si>
  <si>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</si>
  <si>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</si>
  <si>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</si>
  <si>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</si>
  <si>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</si>
  <si>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</si>
  <si>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</si>
  <si>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</si>
  <si>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</si>
  <si>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</si>
  <si>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</si>
  <si>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</si>
  <si>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</si>
  <si>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</si>
  <si>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</si>
  <si>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</si>
  <si>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 + Análise Comportamental</t>
  </si>
  <si>
    <t>Pleno + Plano de Carreira</t>
  </si>
  <si>
    <t>Senior + Gestão e Desenvolvimento (GDC)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</si>
  <si>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</si>
  <si>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</si>
  <si>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</si>
  <si>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</si>
  <si>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</si>
  <si>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</si>
  <si>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</si>
  <si>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</si>
  <si>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</si>
  <si>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</si>
  <si>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</si>
  <si>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</si>
  <si>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</si>
  <si>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</si>
  <si>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</si>
  <si>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</si>
  <si>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</si>
  <si>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</si>
  <si>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</si>
  <si>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</si>
  <si>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</si>
  <si>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</si>
  <si>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</si>
  <si>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</si>
  <si>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</si>
  <si>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</si>
  <si>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</si>
  <si>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</si>
  <si>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</si>
  <si>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</si>
  <si>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</si>
  <si>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</si>
  <si>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</si>
  <si>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</si>
  <si>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</si>
  <si>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</si>
  <si>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</si>
  <si>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</si>
  <si>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</si>
  <si>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ServiceCode</t>
  </si>
  <si>
    <t>Order</t>
  </si>
  <si>
    <t>ServiceName</t>
  </si>
  <si>
    <t>BPL-000</t>
  </si>
  <si>
    <t>Onboarding</t>
  </si>
  <si>
    <t>BPL-001</t>
  </si>
  <si>
    <t>BPL-002</t>
  </si>
  <si>
    <t>BPL-003</t>
  </si>
  <si>
    <t>BPL-004</t>
  </si>
  <si>
    <t>BPL-005</t>
  </si>
  <si>
    <t>BPL-006</t>
  </si>
  <si>
    <t>Offboarding</t>
  </si>
  <si>
    <t>CheckpointId</t>
  </si>
  <si>
    <t>Title</t>
  </si>
  <si>
    <t>Type</t>
  </si>
  <si>
    <t>ReferenceId</t>
  </si>
  <si>
    <t>Description</t>
  </si>
  <si>
    <t>introducao</t>
  </si>
  <si>
    <t>Introdução</t>
  </si>
  <si>
    <t>content</t>
  </si>
  <si>
    <t>welcome_video_01</t>
  </si>
  <si>
    <t>check_in_survey</t>
  </si>
  <si>
    <t>Check-in</t>
  </si>
  <si>
    <t>survey</t>
  </si>
  <si>
    <t>check_in</t>
  </si>
  <si>
    <t>sessao_onboarding</t>
  </si>
  <si>
    <t>Sessão de Onboarding</t>
  </si>
  <si>
    <t>meeting</t>
  </si>
  <si>
    <t>onboarding</t>
  </si>
  <si>
    <t>form</t>
  </si>
  <si>
    <t>agendar-orientacao</t>
  </si>
  <si>
    <t>orientacao-individual-posicionamento</t>
  </si>
  <si>
    <t>realizar-disc</t>
  </si>
  <si>
    <t>disc</t>
  </si>
  <si>
    <t>agendar-devolutiva</t>
  </si>
  <si>
    <t>devolutiva-analise-comportamental</t>
  </si>
  <si>
    <t>agendar-devolutiva-plano</t>
  </si>
  <si>
    <t>devolutiva-plano-carreira</t>
  </si>
  <si>
    <t>gdc-form</t>
  </si>
  <si>
    <t>Gestão de Carreira</t>
  </si>
  <si>
    <t>gdc</t>
  </si>
  <si>
    <t>Formulário de acompanhamento GDC.</t>
  </si>
  <si>
    <t>agendar-mentorias</t>
  </si>
  <si>
    <t>Agendar Mentorias</t>
  </si>
  <si>
    <t>gdc-mentorias</t>
  </si>
  <si>
    <t>Agendamento de sessões periódicas de mentoria.</t>
  </si>
  <si>
    <t>mentocoach-form</t>
  </si>
  <si>
    <t>Acompanhamento MentoCoach</t>
  </si>
  <si>
    <t>mentocoach</t>
  </si>
  <si>
    <t>Formulário de autoavaliação MentoCoach.</t>
  </si>
  <si>
    <t>agendar-sessoes</t>
  </si>
  <si>
    <t>Agendar Sessões de Coaching</t>
  </si>
  <si>
    <t>mentocoach-sessoes</t>
  </si>
  <si>
    <t>Agendamento das sessões individuais de coaching de alta performance.</t>
  </si>
  <si>
    <t>offboarding-survey</t>
  </si>
  <si>
    <t>Avaliação Final</t>
  </si>
  <si>
    <t>offboarding_survey</t>
  </si>
  <si>
    <t>Pesquisa de encerramento e consolidação de resultados.</t>
  </si>
  <si>
    <t>DISC</t>
  </si>
  <si>
    <t>gestao_tempo</t>
  </si>
  <si>
    <t>preferencias_aprendizado</t>
  </si>
  <si>
    <t>preferencias_reconhecimento</t>
  </si>
  <si>
    <t>Mapa de Gestão de Tempo</t>
  </si>
  <si>
    <t>Preferências de Reconhecimento</t>
  </si>
  <si>
    <t>Preferências de Aprendizado</t>
  </si>
  <si>
    <t>realizar_preferencias_reconhecimento</t>
  </si>
  <si>
    <t>realizar_preferencias_aprendizado</t>
  </si>
  <si>
    <t>realizar_gestao_tempo</t>
  </si>
  <si>
    <t>survey_plano_acordos</t>
  </si>
  <si>
    <t>Avisos e Acordos</t>
  </si>
  <si>
    <t>realizar_survey_plano_acordos</t>
  </si>
  <si>
    <t>survey_plano_fase1</t>
  </si>
  <si>
    <t>survey_plano_fase4</t>
  </si>
  <si>
    <t>survey_agendamento_devolutiva</t>
  </si>
  <si>
    <t>survey_plano_fase2</t>
  </si>
  <si>
    <t>survey_plano_fase3</t>
  </si>
  <si>
    <t>realizar_survey_plano_fase1</t>
  </si>
  <si>
    <t>realizar_survey_plano_fase2</t>
  </si>
  <si>
    <t>realizar_survey_plano_fase3</t>
  </si>
  <si>
    <t>realizar_survey_plano_fase4</t>
  </si>
  <si>
    <t>Devolutiva de Análise</t>
  </si>
  <si>
    <t>6.1</t>
  </si>
  <si>
    <t>6.2</t>
  </si>
  <si>
    <t>Definição de Objetivos</t>
  </si>
  <si>
    <t>Seleção de Recursos</t>
  </si>
  <si>
    <t>Plano de Ação</t>
  </si>
  <si>
    <t>Consolidação do Plano</t>
  </si>
  <si>
    <t>Devolutiva do Plano</t>
  </si>
  <si>
    <t>Conheça o BPlen HUB</t>
  </si>
  <si>
    <t>Pre-mapa do estado atual</t>
  </si>
  <si>
    <t>desmistificando_candidaturas</t>
  </si>
  <si>
    <t>Desmistificando: Vagas publicadas e mercado oculto</t>
  </si>
  <si>
    <t>Revisão e elaboração de CV</t>
  </si>
  <si>
    <t>Preparação para Entrevistas e Networking</t>
  </si>
  <si>
    <t>pendente</t>
  </si>
  <si>
    <t>Feedback Tecnico</t>
  </si>
  <si>
    <t>pre_analise_comportamental</t>
  </si>
  <si>
    <t>realizar_desmistificando_candidaturas</t>
  </si>
  <si>
    <t>realizar_revisao_curriculo</t>
  </si>
  <si>
    <t>realizar_pre_analise_comportamental</t>
  </si>
  <si>
    <t>5.1</t>
  </si>
  <si>
    <t>5.2</t>
  </si>
  <si>
    <t>Boas-vindas e alinhamento de expectativas</t>
  </si>
  <si>
    <t>A realidade do mercado de trabalho</t>
  </si>
  <si>
    <t>Preparação de apresentação e pitch em entrevistas</t>
  </si>
  <si>
    <t>Avaliação de Perfil Comportamental</t>
  </si>
  <si>
    <t>Mapa de preferências de reconhecimento interpessoal</t>
  </si>
  <si>
    <t>Mapa de preferências de formas e habitos de aprendizado</t>
  </si>
  <si>
    <t>Mapa de habitos de priorização de tarefas e tempo</t>
  </si>
  <si>
    <t>Sessão individual de Devolutiva Comportamental</t>
  </si>
  <si>
    <t>Avisos e cordos do processo</t>
  </si>
  <si>
    <t>Definição de objetivos de carreira profissional</t>
  </si>
  <si>
    <t>Seleção de recursos para utilização durante a jornada</t>
  </si>
  <si>
    <t>Plano de ação para manter foco e ritmo</t>
  </si>
  <si>
    <t>Consolidação do plano para ativação assertiva</t>
  </si>
  <si>
    <t>Organização de materiais para sessão de devolutiva do plano</t>
  </si>
  <si>
    <t>Sessão individual de devolutiva do plano</t>
  </si>
  <si>
    <t>realizar_pdi_fase1</t>
  </si>
  <si>
    <t>2.1</t>
  </si>
  <si>
    <t>survey_pdi_fase1</t>
  </si>
  <si>
    <t>realizar_pdi_fase2</t>
  </si>
  <si>
    <t>2.2</t>
  </si>
  <si>
    <t>survey_pdi_fase2</t>
  </si>
  <si>
    <t>Analise de Potencial e Riscos</t>
  </si>
  <si>
    <t>realizar_pdi_fase3</t>
  </si>
  <si>
    <t>2.3</t>
  </si>
  <si>
    <t>survey_pdi_fase3</t>
  </si>
  <si>
    <t>realizar_pdi_fase4</t>
  </si>
  <si>
    <t>2.4</t>
  </si>
  <si>
    <t>survey_pdi_fase4</t>
  </si>
  <si>
    <t>Analise Comportamental Basica</t>
  </si>
  <si>
    <t>Sessao individual de feedback do PDI e perfil profissional</t>
  </si>
  <si>
    <t>Seleção de recursos e habilidades</t>
  </si>
  <si>
    <t>Definição de metas e ciclos</t>
  </si>
  <si>
    <t>Consolidação de PDI</t>
  </si>
  <si>
    <t>master_cv</t>
  </si>
  <si>
    <t>Consolidação do PDI</t>
  </si>
  <si>
    <t>Central de do histórico profissional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</si>
</sst>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5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4" fillId="0" borderId="7" xfId="0" applyFont="1" applyBorder="1"/>
    <xf numFmtId="165" fontId="4" fillId="0" borderId="7" xfId="0" applyNumberFormat="1" applyFont="1" applyBorder="1"/>
    <xf numFmtId="0" fontId="6" fillId="6" borderId="4" xfId="0" applyFont="1" applyFill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53</v>
      </c>
      <c r="C3" s="14" t="s">
        <v>54</v>
      </c>
      <c r="D3" s="14" t="s">
        <v>55</v>
      </c>
      <c r="E3" s="14" t="s">
        <v>56</v>
      </c>
    </row>
    <row r="4" spans="2:5" ht="20.100000000000001" customHeight="1" x14ac:dyDescent="0.25">
      <c r="B4" s="15" t="s">
        <v>57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58</v>
      </c>
      <c r="C5" s="19">
        <v>0.05</v>
      </c>
      <c r="D5" s="20" t="s">
        <v>59</v>
      </c>
      <c r="E5" s="18"/>
    </row>
    <row r="6" spans="2:5" ht="20.100000000000001" customHeight="1" x14ac:dyDescent="0.25">
      <c r="B6" s="15" t="s">
        <v>60</v>
      </c>
      <c r="C6" s="21">
        <v>9.9000000000000008E-3</v>
      </c>
      <c r="D6" s="22" t="s">
        <v>59</v>
      </c>
      <c r="E6" s="15"/>
    </row>
    <row r="7" spans="2:5" ht="20.100000000000001" customHeight="1" x14ac:dyDescent="0.25">
      <c r="B7" s="18" t="s">
        <v>61</v>
      </c>
      <c r="C7" s="19">
        <v>0.08</v>
      </c>
      <c r="D7" s="20" t="s">
        <v>59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7" width="9" style="7" customWidth="1"/>
    <col min="8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62</v>
      </c>
      <c r="C2" s="10"/>
      <c r="D2" s="10"/>
      <c r="E2" s="11"/>
    </row>
    <row r="3" spans="2:5" ht="27.95" customHeight="1" x14ac:dyDescent="0.25">
      <c r="B3" s="14" t="s">
        <v>63</v>
      </c>
      <c r="C3" s="14" t="s">
        <v>64</v>
      </c>
      <c r="D3" s="14" t="s">
        <v>65</v>
      </c>
      <c r="E3" s="14"/>
    </row>
    <row r="4" spans="2:5" ht="20.100000000000001" customHeight="1" x14ac:dyDescent="0.25">
      <c r="B4" s="18" t="s">
        <v>66</v>
      </c>
      <c r="C4" s="24">
        <v>184800</v>
      </c>
      <c r="D4" s="24" t="s">
        <v>67</v>
      </c>
      <c r="E4" s="18"/>
    </row>
    <row r="5" spans="2:5" ht="20.100000000000001" customHeight="1" x14ac:dyDescent="0.25">
      <c r="B5" s="15" t="s">
        <v>68</v>
      </c>
      <c r="C5" s="16">
        <v>567.20000000000005</v>
      </c>
      <c r="D5" s="16" t="s">
        <v>69</v>
      </c>
      <c r="E5" s="15"/>
    </row>
    <row r="6" spans="2:5" ht="20.100000000000001" customHeight="1" x14ac:dyDescent="0.25">
      <c r="B6" s="18" t="s">
        <v>70</v>
      </c>
      <c r="C6" s="24">
        <v>0</v>
      </c>
      <c r="D6" s="24" t="s">
        <v>71</v>
      </c>
      <c r="E6" s="18"/>
    </row>
    <row r="7" spans="2:5" ht="20.100000000000001" customHeight="1" x14ac:dyDescent="0.3">
      <c r="B7" s="25" t="s">
        <v>72</v>
      </c>
      <c r="C7" s="26">
        <v>21567.200000000001</v>
      </c>
      <c r="D7" s="26" t="s">
        <v>73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74</v>
      </c>
      <c r="C10" s="29"/>
      <c r="D10" s="29"/>
      <c r="E10" s="11"/>
    </row>
    <row r="11" spans="2:5" ht="27.95" customHeight="1" x14ac:dyDescent="0.25">
      <c r="B11" s="14" t="s">
        <v>63</v>
      </c>
      <c r="C11" s="30" t="s">
        <v>75</v>
      </c>
      <c r="D11" s="30" t="s">
        <v>76</v>
      </c>
      <c r="E11" s="14" t="s">
        <v>77</v>
      </c>
    </row>
    <row r="12" spans="2:5" ht="20.100000000000001" customHeight="1" x14ac:dyDescent="0.25">
      <c r="B12" s="15" t="s">
        <v>78</v>
      </c>
      <c r="C12" s="16">
        <v>141.80000000000001</v>
      </c>
      <c r="D12" s="16">
        <v>1701.6</v>
      </c>
      <c r="E12" s="15" t="s">
        <v>79</v>
      </c>
    </row>
    <row r="13" spans="2:5" ht="20.100000000000001" customHeight="1" x14ac:dyDescent="0.25">
      <c r="B13" s="18" t="s">
        <v>80</v>
      </c>
      <c r="C13" s="24">
        <v>90</v>
      </c>
      <c r="D13" s="24">
        <v>1080</v>
      </c>
      <c r="E13" s="18" t="s">
        <v>81</v>
      </c>
    </row>
    <row r="14" spans="2:5" ht="20.100000000000001" customHeight="1" x14ac:dyDescent="0.25">
      <c r="B14" s="15" t="s">
        <v>82</v>
      </c>
      <c r="C14" s="16">
        <v>90</v>
      </c>
      <c r="D14" s="16">
        <v>1080</v>
      </c>
      <c r="E14" s="15" t="s">
        <v>83</v>
      </c>
    </row>
    <row r="15" spans="2:5" ht="20.100000000000001" customHeight="1" x14ac:dyDescent="0.25">
      <c r="B15" s="18" t="s">
        <v>84</v>
      </c>
      <c r="C15" s="24">
        <v>90</v>
      </c>
      <c r="D15" s="24">
        <v>1080</v>
      </c>
      <c r="E15" s="18" t="s">
        <v>85</v>
      </c>
    </row>
    <row r="16" spans="2:5" ht="20.100000000000001" customHeight="1" x14ac:dyDescent="0.25">
      <c r="B16" s="15" t="s">
        <v>86</v>
      </c>
      <c r="C16" s="16">
        <v>100</v>
      </c>
      <c r="D16" s="16">
        <v>1200</v>
      </c>
      <c r="E16" s="15" t="s">
        <v>87</v>
      </c>
    </row>
    <row r="17" spans="2:5" ht="20.100000000000001" customHeight="1" x14ac:dyDescent="0.25">
      <c r="B17" s="18" t="s">
        <v>88</v>
      </c>
      <c r="C17" s="24">
        <v>3.33</v>
      </c>
      <c r="D17" s="24">
        <v>40</v>
      </c>
      <c r="E17" s="18" t="s">
        <v>89</v>
      </c>
    </row>
    <row r="18" spans="2:5" ht="20.100000000000001" customHeight="1" x14ac:dyDescent="0.25">
      <c r="B18" s="15" t="s">
        <v>90</v>
      </c>
      <c r="C18" s="16">
        <v>0</v>
      </c>
      <c r="D18" s="16">
        <v>0</v>
      </c>
      <c r="E18" s="15" t="s">
        <v>91</v>
      </c>
    </row>
    <row r="19" spans="2:5" ht="20.100000000000001" customHeight="1" x14ac:dyDescent="0.25">
      <c r="B19" s="18" t="s">
        <v>92</v>
      </c>
      <c r="C19" s="24">
        <v>0</v>
      </c>
      <c r="D19" s="24">
        <v>0</v>
      </c>
      <c r="E19" s="18" t="s">
        <v>93</v>
      </c>
    </row>
    <row r="20" spans="2:5" ht="20.100000000000001" customHeight="1" x14ac:dyDescent="0.25">
      <c r="B20" s="15" t="s">
        <v>94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95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96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97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workbookViewId="0">
      <selection activeCell="E26" sqref="E26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53</v>
      </c>
      <c r="B1" s="14" t="s">
        <v>98</v>
      </c>
      <c r="C1" s="14" t="s">
        <v>99</v>
      </c>
      <c r="D1" s="14" t="s">
        <v>100</v>
      </c>
      <c r="E1" s="14" t="s">
        <v>101</v>
      </c>
    </row>
    <row r="2" spans="1:5" ht="20.100000000000001" customHeight="1" x14ac:dyDescent="0.25">
      <c r="A2" s="18" t="s">
        <v>102</v>
      </c>
      <c r="B2" s="20">
        <v>60</v>
      </c>
      <c r="C2" s="24">
        <v>350</v>
      </c>
      <c r="D2" s="24">
        <f>C2/B2</f>
        <v>5.833333333333333</v>
      </c>
      <c r="E2" s="18" t="s">
        <v>103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53</v>
      </c>
      <c r="B4" s="14" t="s">
        <v>104</v>
      </c>
      <c r="C4" s="33" t="s">
        <v>99</v>
      </c>
      <c r="D4" s="33" t="s">
        <v>105</v>
      </c>
      <c r="E4" s="14" t="s">
        <v>101</v>
      </c>
    </row>
    <row r="5" spans="1:5" ht="20.100000000000001" customHeight="1" x14ac:dyDescent="0.25">
      <c r="A5" s="18" t="s">
        <v>106</v>
      </c>
      <c r="B5" s="20">
        <v>1</v>
      </c>
      <c r="C5" s="24">
        <v>15</v>
      </c>
      <c r="D5" s="24">
        <f>C5/B5</f>
        <v>15</v>
      </c>
      <c r="E5" s="18" t="s">
        <v>107</v>
      </c>
    </row>
    <row r="6" spans="1:5" ht="20.100000000000001" customHeight="1" x14ac:dyDescent="0.25">
      <c r="A6" s="18" t="s">
        <v>108</v>
      </c>
      <c r="B6" s="20">
        <v>1</v>
      </c>
      <c r="C6" s="24">
        <v>15</v>
      </c>
      <c r="D6" s="24">
        <f>C6/B6</f>
        <v>15</v>
      </c>
      <c r="E6" s="18" t="s">
        <v>109</v>
      </c>
    </row>
    <row r="7" spans="1:5" ht="20.100000000000001" customHeight="1" x14ac:dyDescent="0.25"/>
    <row r="8" spans="1:5" ht="20.100000000000001" customHeight="1" x14ac:dyDescent="0.25">
      <c r="A8" s="14" t="s">
        <v>53</v>
      </c>
      <c r="B8" s="14" t="s">
        <v>110</v>
      </c>
      <c r="C8" s="33" t="s">
        <v>99</v>
      </c>
      <c r="D8" s="33" t="s">
        <v>111</v>
      </c>
      <c r="E8" s="14" t="s">
        <v>101</v>
      </c>
    </row>
    <row r="9" spans="1:5" ht="20.100000000000001" customHeight="1" x14ac:dyDescent="0.25">
      <c r="A9" s="18" t="s">
        <v>0</v>
      </c>
      <c r="B9" s="20">
        <v>1</v>
      </c>
      <c r="C9" s="24">
        <v>29082.33</v>
      </c>
      <c r="D9" s="24">
        <f>C9/B9</f>
        <v>29082.33</v>
      </c>
      <c r="E9" s="18" t="s">
        <v>112</v>
      </c>
    </row>
    <row r="10" spans="1:5" ht="20.100000000000001" customHeight="1" x14ac:dyDescent="0.25">
      <c r="A10" s="18" t="s">
        <v>113</v>
      </c>
      <c r="B10" s="20">
        <v>1</v>
      </c>
      <c r="C10" s="24">
        <v>6000</v>
      </c>
      <c r="D10" s="24">
        <f>C10/B10</f>
        <v>6000</v>
      </c>
      <c r="E10" s="18" t="s">
        <v>114</v>
      </c>
    </row>
    <row r="11" spans="1:5" ht="20.100000000000001" customHeight="1" x14ac:dyDescent="0.25"/>
    <row r="12" spans="1:5" ht="20.100000000000001" customHeight="1" x14ac:dyDescent="0.25">
      <c r="A12" s="14" t="s">
        <v>53</v>
      </c>
      <c r="B12" s="14" t="s">
        <v>115</v>
      </c>
      <c r="C12" s="33" t="s">
        <v>99</v>
      </c>
      <c r="D12" s="33" t="s">
        <v>116</v>
      </c>
      <c r="E12" s="14" t="s">
        <v>101</v>
      </c>
    </row>
    <row r="13" spans="1:5" ht="20.100000000000001" customHeight="1" x14ac:dyDescent="0.25">
      <c r="A13" s="18" t="s">
        <v>117</v>
      </c>
      <c r="B13" s="20">
        <v>1</v>
      </c>
      <c r="C13" s="24">
        <v>160</v>
      </c>
      <c r="D13" s="24">
        <f>C13/B13</f>
        <v>160</v>
      </c>
      <c r="E13" s="18" t="s">
        <v>118</v>
      </c>
    </row>
    <row r="14" spans="1:5" ht="20.100000000000001" customHeight="1" x14ac:dyDescent="0.25">
      <c r="A14" s="18" t="s">
        <v>119</v>
      </c>
      <c r="B14" s="20">
        <v>1</v>
      </c>
      <c r="C14" s="24">
        <v>160</v>
      </c>
      <c r="D14" s="24">
        <f>C14/B14</f>
        <v>160</v>
      </c>
      <c r="E14" s="18" t="s">
        <v>120</v>
      </c>
    </row>
    <row r="15" spans="1:5" ht="20.100000000000001" customHeight="1" x14ac:dyDescent="0.25">
      <c r="A15" s="18" t="s">
        <v>121</v>
      </c>
      <c r="B15" s="20">
        <v>1</v>
      </c>
      <c r="C15" s="24">
        <v>150</v>
      </c>
      <c r="D15" s="24">
        <f>C15/B15</f>
        <v>150</v>
      </c>
      <c r="E15" s="18" t="s">
        <v>122</v>
      </c>
    </row>
    <row r="16" spans="1:5" ht="20.100000000000001" customHeight="1" x14ac:dyDescent="0.25"/>
    <row r="17" spans="1:5" ht="20.100000000000001" customHeight="1" x14ac:dyDescent="0.25">
      <c r="A17" s="14" t="s">
        <v>53</v>
      </c>
      <c r="B17" s="14" t="s">
        <v>123</v>
      </c>
      <c r="C17" s="33" t="s">
        <v>99</v>
      </c>
      <c r="D17" s="33" t="s">
        <v>124</v>
      </c>
      <c r="E17" s="14" t="s">
        <v>101</v>
      </c>
    </row>
    <row r="18" spans="1:5" ht="20.100000000000001" customHeight="1" x14ac:dyDescent="0.25">
      <c r="A18" s="18" t="s">
        <v>125</v>
      </c>
      <c r="B18" s="20">
        <v>1</v>
      </c>
      <c r="C18" s="24">
        <v>150</v>
      </c>
      <c r="D18" s="24">
        <f>C18/B18</f>
        <v>150</v>
      </c>
      <c r="E18" s="18" t="s">
        <v>126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53</v>
      </c>
      <c r="B20" s="14" t="s">
        <v>127</v>
      </c>
      <c r="C20" s="33" t="s">
        <v>128</v>
      </c>
      <c r="D20" s="33" t="s">
        <v>128</v>
      </c>
      <c r="E20" s="14" t="s">
        <v>101</v>
      </c>
    </row>
    <row r="21" spans="1:5" ht="20.100000000000001" customHeight="1" x14ac:dyDescent="0.25">
      <c r="A21" s="18" t="s">
        <v>129</v>
      </c>
      <c r="B21" s="19">
        <v>0.05</v>
      </c>
      <c r="C21" s="34" t="s">
        <v>59</v>
      </c>
      <c r="D21" s="34" t="s">
        <v>59</v>
      </c>
      <c r="E21" s="18" t="s">
        <v>130</v>
      </c>
    </row>
    <row r="22" spans="1:5" ht="20.100000000000001" customHeight="1" x14ac:dyDescent="0.25">
      <c r="A22" s="18" t="s">
        <v>131</v>
      </c>
      <c r="B22" s="19">
        <v>0.08</v>
      </c>
      <c r="C22" s="34" t="s">
        <v>59</v>
      </c>
      <c r="D22" s="34" t="s">
        <v>59</v>
      </c>
      <c r="E22" s="18" t="s">
        <v>132</v>
      </c>
    </row>
    <row r="23" spans="1:5" ht="20.100000000000001" customHeight="1" x14ac:dyDescent="0.25"/>
    <row r="24" spans="1:5" ht="20.100000000000001" customHeight="1" x14ac:dyDescent="0.25">
      <c r="A24" s="14" t="s">
        <v>53</v>
      </c>
      <c r="B24" s="14" t="s">
        <v>133</v>
      </c>
      <c r="C24" s="33" t="s">
        <v>99</v>
      </c>
      <c r="D24" s="33" t="s">
        <v>134</v>
      </c>
      <c r="E24" s="14" t="s">
        <v>101</v>
      </c>
    </row>
    <row r="25" spans="1:5" ht="20.100000000000001" customHeight="1" x14ac:dyDescent="0.25">
      <c r="A25" s="18" t="s">
        <v>135</v>
      </c>
      <c r="B25" s="20">
        <v>1</v>
      </c>
      <c r="C25" s="24">
        <v>5000</v>
      </c>
      <c r="D25" s="24">
        <f>C25/B25</f>
        <v>5000</v>
      </c>
      <c r="E25" s="18" t="s">
        <v>136</v>
      </c>
    </row>
    <row r="26" spans="1:5" ht="20.100000000000001" customHeight="1" x14ac:dyDescent="0.25">
      <c r="A26" s="18" t="s">
        <v>14</v>
      </c>
      <c r="B26" s="20">
        <v>1</v>
      </c>
      <c r="C26" s="24">
        <v>5000</v>
      </c>
      <c r="D26" s="24">
        <f>C26/B26</f>
        <v>5000</v>
      </c>
      <c r="E26" s="18" t="s">
        <v>137</v>
      </c>
    </row>
    <row r="27" spans="1:5" ht="20.100000000000001" customHeight="1" x14ac:dyDescent="0.25"/>
    <row r="28" spans="1:5" ht="20.100000000000001" customHeight="1" x14ac:dyDescent="0.25">
      <c r="A28" s="14" t="s">
        <v>53</v>
      </c>
      <c r="B28" s="14" t="s">
        <v>138</v>
      </c>
      <c r="C28" s="33" t="s">
        <v>99</v>
      </c>
      <c r="D28" s="33" t="s">
        <v>134</v>
      </c>
      <c r="E28" s="14" t="s">
        <v>101</v>
      </c>
    </row>
    <row r="29" spans="1:5" ht="20.100000000000001" customHeight="1" x14ac:dyDescent="0.25">
      <c r="A29" s="18" t="s">
        <v>139</v>
      </c>
      <c r="B29" s="20">
        <v>25</v>
      </c>
      <c r="C29" s="24">
        <v>5000</v>
      </c>
      <c r="D29" s="24">
        <f t="shared" ref="D29:D34" si="0">C29/B29</f>
        <v>200</v>
      </c>
      <c r="E29" s="18" t="s">
        <v>140</v>
      </c>
    </row>
    <row r="30" spans="1:5" ht="20.100000000000001" customHeight="1" x14ac:dyDescent="0.25">
      <c r="A30" s="18" t="s">
        <v>141</v>
      </c>
      <c r="B30" s="20">
        <v>10</v>
      </c>
      <c r="C30" s="24">
        <f>C2</f>
        <v>350</v>
      </c>
      <c r="D30" s="24">
        <f t="shared" si="0"/>
        <v>35</v>
      </c>
      <c r="E30" s="18" t="s">
        <v>140</v>
      </c>
    </row>
    <row r="31" spans="1:5" ht="20.100000000000001" customHeight="1" x14ac:dyDescent="0.25">
      <c r="A31" s="18" t="s">
        <v>142</v>
      </c>
      <c r="B31" s="20">
        <v>100</v>
      </c>
      <c r="C31" s="24">
        <f>C26</f>
        <v>5000</v>
      </c>
      <c r="D31" s="24">
        <f t="shared" si="0"/>
        <v>50</v>
      </c>
      <c r="E31" s="18" t="s">
        <v>140</v>
      </c>
    </row>
    <row r="32" spans="1:5" ht="20.100000000000001" customHeight="1" x14ac:dyDescent="0.25">
      <c r="A32" s="18" t="s">
        <v>143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140</v>
      </c>
    </row>
    <row r="33" spans="1:5" ht="20.100000000000001" customHeight="1" x14ac:dyDescent="0.25">
      <c r="A33" s="18" t="s">
        <v>144</v>
      </c>
      <c r="B33" s="20">
        <v>20</v>
      </c>
      <c r="C33" s="24">
        <f>C10</f>
        <v>6000</v>
      </c>
      <c r="D33" s="24">
        <f t="shared" si="0"/>
        <v>300</v>
      </c>
      <c r="E33" s="18" t="s">
        <v>140</v>
      </c>
    </row>
    <row r="34" spans="1:5" ht="20.100000000000001" customHeight="1" x14ac:dyDescent="0.25">
      <c r="A34" s="18" t="s">
        <v>145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38" zoomScale="70" zoomScaleNormal="70" workbookViewId="0">
      <selection activeCell="C164" sqref="C164:D164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146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147</v>
      </c>
      <c r="D3" s="37"/>
      <c r="E3" s="38"/>
      <c r="F3" s="37"/>
    </row>
    <row r="4" spans="2:6" ht="20.100000000000001" customHeight="1" x14ac:dyDescent="0.3">
      <c r="B4" s="72"/>
      <c r="C4" s="39" t="s">
        <v>53</v>
      </c>
      <c r="D4" s="39" t="s">
        <v>148</v>
      </c>
      <c r="E4" s="40" t="s">
        <v>99</v>
      </c>
      <c r="F4" s="40" t="s">
        <v>149</v>
      </c>
    </row>
    <row r="5" spans="2:6" ht="20.100000000000001" customHeight="1" x14ac:dyDescent="0.3">
      <c r="B5" s="72"/>
      <c r="C5" s="41" t="s">
        <v>145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102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150</v>
      </c>
      <c r="D7" s="45" t="s">
        <v>128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151</v>
      </c>
      <c r="D8" s="42" t="s">
        <v>128</v>
      </c>
      <c r="E8" s="43">
        <f>E7*$D$1</f>
        <v>68.5</v>
      </c>
    </row>
    <row r="9" spans="2:6" ht="20.100000000000001" customHeight="1" x14ac:dyDescent="0.3">
      <c r="B9" s="72"/>
      <c r="C9" s="44" t="s">
        <v>152</v>
      </c>
      <c r="D9" s="45" t="s">
        <v>128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153</v>
      </c>
      <c r="E11" s="3"/>
    </row>
    <row r="12" spans="2:6" ht="20.100000000000001" customHeight="1" x14ac:dyDescent="0.3">
      <c r="B12" s="72"/>
      <c r="C12" s="41" t="s">
        <v>129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131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154</v>
      </c>
      <c r="D14" s="45" t="s">
        <v>128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155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156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157</v>
      </c>
      <c r="E18" s="3"/>
    </row>
    <row r="19" spans="2:6" ht="20.100000000000001" customHeight="1" x14ac:dyDescent="0.3">
      <c r="B19" s="72"/>
      <c r="C19" s="41" t="s">
        <v>129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131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158</v>
      </c>
      <c r="D21" s="45" t="s">
        <v>128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159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160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161</v>
      </c>
      <c r="D26" s="42" t="s">
        <v>162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163</v>
      </c>
      <c r="D28" s="37"/>
      <c r="E28" s="38"/>
      <c r="F28" s="37"/>
    </row>
    <row r="29" spans="2:6" ht="20.100000000000001" customHeight="1" x14ac:dyDescent="0.3">
      <c r="B29" s="72"/>
      <c r="C29" s="39" t="s">
        <v>53</v>
      </c>
      <c r="D29" s="39" t="s">
        <v>148</v>
      </c>
      <c r="E29" s="40" t="s">
        <v>99</v>
      </c>
      <c r="F29" s="40" t="s">
        <v>149</v>
      </c>
    </row>
    <row r="30" spans="2:6" ht="20.100000000000001" customHeight="1" x14ac:dyDescent="0.3">
      <c r="B30" s="72"/>
      <c r="C30" s="41" t="s">
        <v>145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143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142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102</v>
      </c>
      <c r="D33" s="42">
        <v>90</v>
      </c>
      <c r="E33" s="43">
        <f>D33*'Referencias de Custos'!$D$2</f>
        <v>525</v>
      </c>
      <c r="F33" s="50" t="s">
        <v>164</v>
      </c>
    </row>
    <row r="34" spans="2:6" ht="20.100000000000001" customHeight="1" x14ac:dyDescent="0.3">
      <c r="B34" s="72"/>
      <c r="C34" s="44" t="s">
        <v>150</v>
      </c>
      <c r="D34" s="45" t="s">
        <v>128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151</v>
      </c>
      <c r="D35" s="42" t="s">
        <v>128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152</v>
      </c>
      <c r="D36" s="45" t="s">
        <v>128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153</v>
      </c>
      <c r="E38" s="3"/>
    </row>
    <row r="39" spans="2:6" ht="20.100000000000001" customHeight="1" x14ac:dyDescent="0.3">
      <c r="B39" s="72"/>
      <c r="C39" s="41" t="s">
        <v>129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131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154</v>
      </c>
      <c r="D41" s="45" t="s">
        <v>128</v>
      </c>
      <c r="E41" s="46">
        <v>930.9</v>
      </c>
      <c r="F41" s="25"/>
    </row>
    <row r="42" spans="2:6" ht="20.100000000000001" customHeight="1" x14ac:dyDescent="0.3">
      <c r="B42" s="72"/>
      <c r="C42" s="35" t="s">
        <v>155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156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157</v>
      </c>
      <c r="E45" s="3"/>
    </row>
    <row r="46" spans="2:6" ht="20.100000000000001" customHeight="1" x14ac:dyDescent="0.3">
      <c r="B46" s="72"/>
      <c r="C46" s="41" t="s">
        <v>129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131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158</v>
      </c>
      <c r="D48" s="45" t="s">
        <v>128</v>
      </c>
      <c r="E48" s="46">
        <v>895.43</v>
      </c>
      <c r="F48" s="25"/>
    </row>
    <row r="49" spans="2:6" ht="20.100000000000001" customHeight="1" x14ac:dyDescent="0.3">
      <c r="B49" s="72"/>
      <c r="C49" s="35" t="s">
        <v>159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160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161</v>
      </c>
      <c r="D54" s="42" t="s">
        <v>165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166</v>
      </c>
      <c r="D56" s="37"/>
      <c r="E56" s="38"/>
      <c r="F56" s="37"/>
    </row>
    <row r="57" spans="2:6" ht="20.100000000000001" customHeight="1" x14ac:dyDescent="0.3">
      <c r="B57" s="72"/>
      <c r="C57" s="39" t="s">
        <v>53</v>
      </c>
      <c r="D57" s="39" t="s">
        <v>148</v>
      </c>
      <c r="E57" s="40" t="s">
        <v>99</v>
      </c>
      <c r="F57" s="40" t="s">
        <v>149</v>
      </c>
    </row>
    <row r="58" spans="2:6" ht="20.100000000000001" customHeight="1" x14ac:dyDescent="0.3">
      <c r="B58" s="72"/>
      <c r="C58" s="41" t="s">
        <v>145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143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106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117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119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102</v>
      </c>
      <c r="D63" s="42">
        <v>120</v>
      </c>
      <c r="E63" s="43">
        <f>D63*'Referencias de Custos'!$D$2</f>
        <v>700</v>
      </c>
      <c r="F63" s="41" t="s">
        <v>167</v>
      </c>
    </row>
    <row r="64" spans="2:6" ht="20.100000000000001" customHeight="1" x14ac:dyDescent="0.3">
      <c r="B64" s="72"/>
      <c r="C64" s="41" t="s">
        <v>141</v>
      </c>
      <c r="D64" s="42">
        <v>2</v>
      </c>
      <c r="E64" s="43">
        <f>D64*'Referencias de Custos'!$D$30</f>
        <v>70</v>
      </c>
      <c r="F64" s="41" t="s">
        <v>168</v>
      </c>
    </row>
    <row r="65" spans="2:6" ht="20.100000000000001" customHeight="1" x14ac:dyDescent="0.3">
      <c r="B65" s="72"/>
      <c r="C65" s="44" t="s">
        <v>150</v>
      </c>
      <c r="D65" s="45" t="s">
        <v>128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151</v>
      </c>
      <c r="D66" s="42" t="s">
        <v>128</v>
      </c>
      <c r="E66" s="43">
        <f>E65*$D$1</f>
        <v>242.816</v>
      </c>
    </row>
    <row r="67" spans="2:6" ht="20.100000000000001" customHeight="1" x14ac:dyDescent="0.3">
      <c r="B67" s="72"/>
      <c r="C67" s="44" t="s">
        <v>152</v>
      </c>
      <c r="D67" s="45" t="s">
        <v>128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153</v>
      </c>
      <c r="E69" s="3"/>
    </row>
    <row r="70" spans="2:6" ht="20.100000000000001" customHeight="1" x14ac:dyDescent="0.3">
      <c r="B70" s="72"/>
      <c r="C70" s="41" t="s">
        <v>129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131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154</v>
      </c>
      <c r="D72" s="45" t="s">
        <v>128</v>
      </c>
      <c r="E72" s="46">
        <v>1652.12</v>
      </c>
      <c r="F72" s="25"/>
    </row>
    <row r="73" spans="2:6" ht="20.100000000000001" customHeight="1" x14ac:dyDescent="0.3">
      <c r="B73" s="72"/>
      <c r="C73" s="35" t="s">
        <v>155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156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157</v>
      </c>
      <c r="E76" s="3"/>
    </row>
    <row r="77" spans="2:6" ht="20.100000000000001" customHeight="1" x14ac:dyDescent="0.3">
      <c r="B77" s="72"/>
      <c r="C77" s="41" t="s">
        <v>129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131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158</v>
      </c>
      <c r="D79" s="45" t="s">
        <v>128</v>
      </c>
      <c r="E79" s="46">
        <v>1589.18</v>
      </c>
      <c r="F79" s="25"/>
    </row>
    <row r="80" spans="2:6" ht="20.100000000000001" customHeight="1" x14ac:dyDescent="0.3">
      <c r="B80" s="72"/>
      <c r="C80" s="35" t="s">
        <v>159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160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161</v>
      </c>
      <c r="D84" s="42" t="s">
        <v>165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169</v>
      </c>
      <c r="D86" s="37"/>
      <c r="E86" s="38"/>
      <c r="F86" s="37"/>
    </row>
    <row r="87" spans="2:6" ht="20.100000000000001" customHeight="1" x14ac:dyDescent="0.3">
      <c r="B87" s="72"/>
      <c r="C87" s="39" t="s">
        <v>53</v>
      </c>
      <c r="D87" s="39" t="s">
        <v>148</v>
      </c>
      <c r="E87" s="40" t="s">
        <v>99</v>
      </c>
      <c r="F87" s="40" t="s">
        <v>149</v>
      </c>
    </row>
    <row r="88" spans="2:6" ht="20.100000000000001" customHeight="1" x14ac:dyDescent="0.3">
      <c r="B88" s="72"/>
      <c r="C88" s="41" t="s">
        <v>145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143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106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121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102</v>
      </c>
      <c r="D92" s="42">
        <v>180</v>
      </c>
      <c r="E92" s="43">
        <f>D92*'Referencias de Custos'!$D$2</f>
        <v>1050</v>
      </c>
      <c r="F92" s="41" t="s">
        <v>170</v>
      </c>
    </row>
    <row r="93" spans="2:6" ht="20.100000000000001" customHeight="1" x14ac:dyDescent="0.3">
      <c r="B93" s="72"/>
      <c r="C93" s="41" t="s">
        <v>141</v>
      </c>
      <c r="D93" s="42">
        <v>2</v>
      </c>
      <c r="E93" s="43">
        <f>D93*'Referencias de Custos'!$D$30</f>
        <v>70</v>
      </c>
      <c r="F93" s="41" t="s">
        <v>168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150</v>
      </c>
      <c r="D95" s="45" t="s">
        <v>128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151</v>
      </c>
      <c r="D96" s="42" t="s">
        <v>128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152</v>
      </c>
      <c r="D97" s="45" t="s">
        <v>128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153</v>
      </c>
      <c r="E99" s="3"/>
    </row>
    <row r="100" spans="2:6" ht="20.100000000000001" customHeight="1" x14ac:dyDescent="0.3">
      <c r="B100" s="72"/>
      <c r="C100" s="41" t="s">
        <v>129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131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154</v>
      </c>
      <c r="D102" s="45" t="s">
        <v>128</v>
      </c>
      <c r="E102" s="46">
        <v>1910.67</v>
      </c>
      <c r="F102" s="25"/>
    </row>
    <row r="103" spans="2:6" ht="20.100000000000001" customHeight="1" x14ac:dyDescent="0.3">
      <c r="B103" s="72"/>
      <c r="C103" s="35" t="s">
        <v>155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156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157</v>
      </c>
      <c r="E106" s="3"/>
    </row>
    <row r="107" spans="2:6" ht="20.100000000000001" customHeight="1" x14ac:dyDescent="0.3">
      <c r="B107" s="72"/>
      <c r="C107" s="41" t="s">
        <v>129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131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158</v>
      </c>
      <c r="D109" s="45" t="s">
        <v>128</v>
      </c>
      <c r="E109" s="46">
        <v>1837.88</v>
      </c>
      <c r="F109" s="25"/>
    </row>
    <row r="110" spans="2:6" ht="20.100000000000001" customHeight="1" x14ac:dyDescent="0.3">
      <c r="B110" s="72"/>
      <c r="C110" s="35" t="s">
        <v>159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160</v>
      </c>
      <c r="D112" s="49">
        <f>E112/E109</f>
        <v>-0.25794937645548127</v>
      </c>
      <c r="E112" s="43">
        <f>-(E88+E89+E90+350)</f>
        <v>-474.08</v>
      </c>
      <c r="F112" s="41" t="s">
        <v>171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161</v>
      </c>
      <c r="D114" s="42" t="s">
        <v>165</v>
      </c>
      <c r="E114" s="3"/>
    </row>
    <row r="115" spans="2:6" ht="20.100000000000001" customHeight="1" x14ac:dyDescent="0.3">
      <c r="B115" s="72"/>
      <c r="C115" s="50" t="s">
        <v>172</v>
      </c>
      <c r="D115" s="47" t="s">
        <v>173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174</v>
      </c>
      <c r="D117" s="37"/>
      <c r="E117" s="38"/>
      <c r="F117" s="37"/>
    </row>
    <row r="118" spans="2:6" ht="20.100000000000001" customHeight="1" x14ac:dyDescent="0.3">
      <c r="B118" s="72"/>
      <c r="C118" s="39" t="s">
        <v>53</v>
      </c>
      <c r="D118" s="39" t="s">
        <v>148</v>
      </c>
      <c r="E118" s="40" t="s">
        <v>99</v>
      </c>
      <c r="F118" s="40" t="s">
        <v>149</v>
      </c>
    </row>
    <row r="119" spans="2:6" ht="20.100000000000001" customHeight="1" x14ac:dyDescent="0.3">
      <c r="B119" s="72"/>
      <c r="C119" s="41" t="s">
        <v>145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143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106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108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139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102</v>
      </c>
      <c r="D124" s="42">
        <v>1380</v>
      </c>
      <c r="E124" s="43">
        <f>D124*'Referencias de Custos'!$D$2</f>
        <v>8050</v>
      </c>
      <c r="F124" s="41" t="s">
        <v>175</v>
      </c>
    </row>
    <row r="125" spans="2:6" ht="20.100000000000001" customHeight="1" x14ac:dyDescent="0.3">
      <c r="B125" s="72"/>
      <c r="C125" s="41" t="s">
        <v>141</v>
      </c>
      <c r="D125" s="42">
        <v>2</v>
      </c>
      <c r="E125" s="43">
        <f>D125*'Referencias de Custos'!$D$30</f>
        <v>70</v>
      </c>
      <c r="F125" s="41" t="s">
        <v>168</v>
      </c>
    </row>
    <row r="126" spans="2:6" ht="20.100000000000001" customHeight="1" x14ac:dyDescent="0.3">
      <c r="B126" s="72"/>
      <c r="C126" s="44" t="s">
        <v>150</v>
      </c>
      <c r="D126" s="45" t="s">
        <v>128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151</v>
      </c>
      <c r="D127" s="42" t="s">
        <v>128</v>
      </c>
      <c r="E127" s="43">
        <f>E126*$D$1</f>
        <v>1691.816</v>
      </c>
    </row>
    <row r="128" spans="2:6" ht="20.100000000000001" customHeight="1" x14ac:dyDescent="0.3">
      <c r="B128" s="72"/>
      <c r="C128" s="44" t="s">
        <v>152</v>
      </c>
      <c r="D128" s="45" t="s">
        <v>128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153</v>
      </c>
      <c r="E130" s="3"/>
    </row>
    <row r="131" spans="2:6" ht="20.100000000000001" customHeight="1" x14ac:dyDescent="0.3">
      <c r="B131" s="72"/>
      <c r="C131" s="41" t="s">
        <v>129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131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154</v>
      </c>
      <c r="D133" s="45" t="s">
        <v>128</v>
      </c>
      <c r="E133" s="46">
        <v>11511.12</v>
      </c>
      <c r="F133" s="25"/>
    </row>
    <row r="134" spans="2:6" ht="20.100000000000001" customHeight="1" x14ac:dyDescent="0.3">
      <c r="B134" s="72"/>
      <c r="C134" s="35" t="s">
        <v>155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156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157</v>
      </c>
      <c r="E137" s="3"/>
    </row>
    <row r="138" spans="2:6" ht="20.100000000000001" customHeight="1" x14ac:dyDescent="0.3">
      <c r="B138" s="72"/>
      <c r="C138" s="41" t="s">
        <v>129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131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158</v>
      </c>
      <c r="D140" s="45" t="s">
        <v>128</v>
      </c>
      <c r="E140" s="46">
        <v>11072.6</v>
      </c>
      <c r="F140" s="25"/>
    </row>
    <row r="141" spans="2:6" ht="20.100000000000001" customHeight="1" x14ac:dyDescent="0.3">
      <c r="B141" s="72"/>
      <c r="C141" s="35" t="s">
        <v>159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160</v>
      </c>
      <c r="D143" s="49">
        <f>E143/E140</f>
        <v>-4.2815598865668401E-2</v>
      </c>
      <c r="E143" s="43">
        <f>-(E119+E120+E121+350)</f>
        <v>-474.08</v>
      </c>
      <c r="F143" s="41" t="s">
        <v>176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161</v>
      </c>
      <c r="D145" s="42" t="s">
        <v>165</v>
      </c>
      <c r="E145" s="3"/>
    </row>
    <row r="146" spans="2:6" ht="20.100000000000001" customHeight="1" x14ac:dyDescent="0.3">
      <c r="B146" s="72"/>
      <c r="C146" s="50" t="s">
        <v>172</v>
      </c>
      <c r="D146" s="47" t="s">
        <v>177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178</v>
      </c>
      <c r="D148" s="37"/>
      <c r="E148" s="38"/>
      <c r="F148" s="37"/>
    </row>
    <row r="149" spans="2:6" ht="20.100000000000001" customHeight="1" x14ac:dyDescent="0.3">
      <c r="B149" s="72"/>
      <c r="C149" s="65" t="s">
        <v>53</v>
      </c>
      <c r="D149" s="39" t="s">
        <v>148</v>
      </c>
      <c r="E149" s="40" t="s">
        <v>99</v>
      </c>
      <c r="F149" s="40" t="s">
        <v>149</v>
      </c>
    </row>
    <row r="150" spans="2:6" ht="20.100000000000001" customHeight="1" x14ac:dyDescent="0.3">
      <c r="B150" s="72"/>
      <c r="C150" s="66" t="s">
        <v>145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143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106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179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117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102</v>
      </c>
      <c r="D155" s="42">
        <v>1020</v>
      </c>
      <c r="E155" s="43">
        <f>D155*'Referencias de Custos'!$D$2</f>
        <v>5950</v>
      </c>
      <c r="F155" s="41" t="s">
        <v>180</v>
      </c>
    </row>
    <row r="156" spans="2:6" ht="20.100000000000001" customHeight="1" thickBot="1" x14ac:dyDescent="0.35">
      <c r="B156" s="72"/>
      <c r="C156" s="67" t="s">
        <v>150</v>
      </c>
      <c r="D156" s="45" t="s">
        <v>128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151</v>
      </c>
      <c r="D157" s="42" t="s">
        <v>128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152</v>
      </c>
      <c r="D158" s="45" t="s">
        <v>128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153</v>
      </c>
      <c r="E159" s="3"/>
    </row>
    <row r="160" spans="2:6" ht="20.100000000000001" customHeight="1" x14ac:dyDescent="0.3">
      <c r="B160" s="72"/>
      <c r="C160" s="66" t="s">
        <v>129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131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154</v>
      </c>
      <c r="D162" s="45" t="s">
        <v>128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155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156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157</v>
      </c>
      <c r="E166" s="3"/>
    </row>
    <row r="167" spans="2:6" ht="20.100000000000001" customHeight="1" x14ac:dyDescent="0.3">
      <c r="B167" s="72"/>
      <c r="C167" s="66" t="s">
        <v>129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131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158</v>
      </c>
      <c r="D169" s="45" t="s">
        <v>128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159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181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182</v>
      </c>
      <c r="D173" s="49">
        <f>E173/E158</f>
        <v>-0.15603344396326593</v>
      </c>
      <c r="E173" s="43">
        <f>-(E65)</f>
        <v>-1214.08</v>
      </c>
      <c r="F173" s="41" t="s">
        <v>171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161</v>
      </c>
      <c r="D199" s="42" t="s">
        <v>165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0</v>
      </c>
    </row>
    <row r="3" spans="2:10" ht="20.100000000000001" customHeight="1" x14ac:dyDescent="0.3">
      <c r="D3" s="63" t="s">
        <v>183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184</v>
      </c>
    </row>
    <row r="7" spans="2:10" ht="27.95" customHeight="1" x14ac:dyDescent="0.25">
      <c r="B7" s="14" t="s">
        <v>185</v>
      </c>
      <c r="C7" s="14" t="s">
        <v>186</v>
      </c>
      <c r="D7" s="14" t="s">
        <v>187</v>
      </c>
      <c r="E7" s="14" t="s">
        <v>188</v>
      </c>
      <c r="F7" s="14" t="s">
        <v>189</v>
      </c>
      <c r="G7" s="14" t="s">
        <v>190</v>
      </c>
      <c r="H7" s="14" t="s">
        <v>191</v>
      </c>
      <c r="I7" s="14" t="s">
        <v>192</v>
      </c>
      <c r="J7" s="14" t="s">
        <v>193</v>
      </c>
    </row>
    <row r="8" spans="2:10" ht="20.100000000000001" customHeight="1" x14ac:dyDescent="0.25">
      <c r="B8" s="53" t="s">
        <v>47</v>
      </c>
      <c r="C8" s="18" t="s">
        <v>163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48</v>
      </c>
      <c r="C9" s="15" t="s">
        <v>194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49</v>
      </c>
      <c r="C10" s="18" t="s">
        <v>195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50</v>
      </c>
      <c r="C11" s="15" t="s">
        <v>196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51</v>
      </c>
      <c r="C12" s="55" t="s">
        <v>50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197</v>
      </c>
    </row>
    <row r="15" spans="2:10" ht="20.100000000000001" customHeight="1" x14ac:dyDescent="0.25"/>
    <row r="16" spans="2:10" ht="20.100000000000001" customHeight="1" x14ac:dyDescent="0.3">
      <c r="B16" s="103" t="s">
        <v>198</v>
      </c>
      <c r="C16" s="104"/>
      <c r="D16" s="104"/>
      <c r="E16" s="104"/>
      <c r="F16" s="104"/>
    </row>
    <row r="17" spans="2:6" ht="27.95" customHeight="1" x14ac:dyDescent="0.25">
      <c r="B17" s="61" t="s">
        <v>199</v>
      </c>
      <c r="C17" s="61" t="s">
        <v>148</v>
      </c>
      <c r="D17" s="61" t="s">
        <v>200</v>
      </c>
      <c r="E17" s="61" t="s">
        <v>201</v>
      </c>
      <c r="F17" s="61" t="s">
        <v>202</v>
      </c>
    </row>
    <row r="18" spans="2:6" ht="20.100000000000001" customHeight="1" x14ac:dyDescent="0.3">
      <c r="B18" s="18" t="s">
        <v>145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203</v>
      </c>
    </row>
    <row r="19" spans="2:6" ht="20.100000000000001" customHeight="1" x14ac:dyDescent="0.3">
      <c r="B19" s="18" t="s">
        <v>143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204</v>
      </c>
    </row>
    <row r="20" spans="2:6" ht="20.100000000000001" customHeight="1" x14ac:dyDescent="0.3">
      <c r="B20" s="18" t="s">
        <v>142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137</v>
      </c>
    </row>
    <row r="21" spans="2:6" ht="20.100000000000001" customHeight="1" x14ac:dyDescent="0.3">
      <c r="B21" s="18" t="s">
        <v>205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206</v>
      </c>
    </row>
    <row r="22" spans="2:6" ht="20.100000000000001" customHeight="1" x14ac:dyDescent="0.3">
      <c r="B22" s="59" t="s">
        <v>207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208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209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210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211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212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213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214</v>
      </c>
      <c r="C29" s="41"/>
      <c r="D29" s="41"/>
      <c r="E29" s="58">
        <f>(E24+E28)*'Custo de Serviços'!$D$47</f>
        <v>66.328622716799998</v>
      </c>
      <c r="F29" s="41"/>
    </row>
    <row r="30" spans="2:6" s="70" customFormat="1" ht="20.100000000000001" customHeight="1" x14ac:dyDescent="0.3">
      <c r="B30" s="101" t="s">
        <v>156</v>
      </c>
      <c r="C30" s="57">
        <v>3</v>
      </c>
      <c r="D30" s="101" t="s">
        <v>128</v>
      </c>
      <c r="E30" s="102" t="s">
        <v>128</v>
      </c>
      <c r="F30" s="101"/>
    </row>
    <row r="31" spans="2:6" ht="20.100000000000001" customHeight="1" x14ac:dyDescent="0.3">
      <c r="B31" s="25" t="s">
        <v>215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3" t="s">
        <v>216</v>
      </c>
      <c r="C33" s="104"/>
      <c r="D33" s="104"/>
      <c r="E33" s="104"/>
      <c r="F33" s="104"/>
    </row>
    <row r="34" spans="2:6" ht="27.95" customHeight="1" x14ac:dyDescent="0.25">
      <c r="B34" s="61" t="s">
        <v>199</v>
      </c>
      <c r="C34" s="61" t="s">
        <v>148</v>
      </c>
      <c r="D34" s="61" t="s">
        <v>200</v>
      </c>
      <c r="E34" s="61" t="s">
        <v>201</v>
      </c>
      <c r="F34" s="61" t="s">
        <v>202</v>
      </c>
    </row>
    <row r="35" spans="2:6" ht="20.100000000000001" customHeight="1" x14ac:dyDescent="0.3">
      <c r="B35" s="18" t="s">
        <v>145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217</v>
      </c>
    </row>
    <row r="36" spans="2:6" ht="20.100000000000001" customHeight="1" x14ac:dyDescent="0.3">
      <c r="B36" s="18" t="s">
        <v>143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217</v>
      </c>
    </row>
    <row r="37" spans="2:6" ht="20.100000000000001" customHeight="1" x14ac:dyDescent="0.3">
      <c r="B37" s="18" t="s">
        <v>142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137</v>
      </c>
    </row>
    <row r="38" spans="2:6" ht="20.100000000000001" customHeight="1" x14ac:dyDescent="0.3">
      <c r="B38" s="18" t="s">
        <v>106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218</v>
      </c>
    </row>
    <row r="39" spans="2:6" ht="20.100000000000001" customHeight="1" x14ac:dyDescent="0.3">
      <c r="B39" s="18" t="s">
        <v>117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118</v>
      </c>
    </row>
    <row r="40" spans="2:6" ht="20.100000000000001" customHeight="1" x14ac:dyDescent="0.3">
      <c r="B40" s="18" t="s">
        <v>119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120</v>
      </c>
    </row>
    <row r="41" spans="2:6" ht="20.100000000000001" customHeight="1" x14ac:dyDescent="0.3">
      <c r="B41" s="18" t="s">
        <v>205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219</v>
      </c>
    </row>
    <row r="42" spans="2:6" ht="20.100000000000001" customHeight="1" x14ac:dyDescent="0.3">
      <c r="B42" s="18" t="s">
        <v>220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221</v>
      </c>
    </row>
    <row r="43" spans="2:6" ht="20.100000000000001" customHeight="1" x14ac:dyDescent="0.3">
      <c r="B43" s="59" t="s">
        <v>207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208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209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222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211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212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223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214</v>
      </c>
      <c r="C50" s="41"/>
      <c r="D50" s="41"/>
      <c r="E50" s="58">
        <f>(E45+E49)*'Custo de Serviços'!$D$47</f>
        <v>173.46942271680001</v>
      </c>
      <c r="F50" s="41"/>
    </row>
    <row r="51" spans="2:6" s="70" customFormat="1" ht="20.100000000000001" customHeight="1" x14ac:dyDescent="0.3">
      <c r="B51" s="101" t="s">
        <v>156</v>
      </c>
      <c r="C51" s="57">
        <v>5</v>
      </c>
      <c r="D51" s="101" t="s">
        <v>128</v>
      </c>
      <c r="E51" s="102" t="s">
        <v>128</v>
      </c>
      <c r="F51" s="101"/>
    </row>
    <row r="52" spans="2:6" ht="20.100000000000001" customHeight="1" x14ac:dyDescent="0.3">
      <c r="B52" s="25" t="s">
        <v>215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3" t="s">
        <v>224</v>
      </c>
      <c r="C55" s="104"/>
      <c r="D55" s="104"/>
      <c r="E55" s="104"/>
      <c r="F55" s="104"/>
    </row>
    <row r="56" spans="2:6" ht="27.95" customHeight="1" x14ac:dyDescent="0.25">
      <c r="B56" s="61" t="s">
        <v>199</v>
      </c>
      <c r="C56" s="61" t="s">
        <v>148</v>
      </c>
      <c r="D56" s="61" t="s">
        <v>200</v>
      </c>
      <c r="E56" s="61" t="s">
        <v>201</v>
      </c>
      <c r="F56" s="61" t="s">
        <v>202</v>
      </c>
    </row>
    <row r="57" spans="2:6" ht="20.100000000000001" customHeight="1" x14ac:dyDescent="0.3">
      <c r="B57" s="18" t="s">
        <v>145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217</v>
      </c>
    </row>
    <row r="58" spans="2:6" ht="20.100000000000001" customHeight="1" x14ac:dyDescent="0.3">
      <c r="B58" s="18" t="s">
        <v>143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217</v>
      </c>
    </row>
    <row r="59" spans="2:6" ht="20.100000000000001" customHeight="1" x14ac:dyDescent="0.3">
      <c r="B59" s="18" t="s">
        <v>142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137</v>
      </c>
    </row>
    <row r="60" spans="2:6" ht="20.100000000000001" customHeight="1" x14ac:dyDescent="0.3">
      <c r="B60" s="18" t="s">
        <v>106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225</v>
      </c>
    </row>
    <row r="61" spans="2:6" ht="20.100000000000001" customHeight="1" x14ac:dyDescent="0.3">
      <c r="B61" s="18" t="s">
        <v>117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118</v>
      </c>
    </row>
    <row r="62" spans="2:6" ht="20.100000000000001" customHeight="1" x14ac:dyDescent="0.3">
      <c r="B62" s="18" t="s">
        <v>119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120</v>
      </c>
    </row>
    <row r="63" spans="2:6" ht="20.100000000000001" customHeight="1" x14ac:dyDescent="0.3">
      <c r="B63" s="18" t="s">
        <v>121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226</v>
      </c>
    </row>
    <row r="64" spans="2:6" ht="20.100000000000001" customHeight="1" x14ac:dyDescent="0.3">
      <c r="B64" s="18" t="s">
        <v>205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227</v>
      </c>
    </row>
    <row r="65" spans="2:6" ht="20.100000000000001" customHeight="1" x14ac:dyDescent="0.3">
      <c r="B65" s="18" t="s">
        <v>220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221</v>
      </c>
    </row>
    <row r="66" spans="2:6" ht="20.100000000000001" customHeight="1" x14ac:dyDescent="0.3">
      <c r="B66" s="59" t="s">
        <v>207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208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209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222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211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212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223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214</v>
      </c>
      <c r="C73" s="41"/>
      <c r="D73" s="41"/>
      <c r="E73" s="58">
        <f>(E68+E72)*'Custo de Serviços'!$D$47</f>
        <v>290.79102271680006</v>
      </c>
      <c r="F73" s="41"/>
    </row>
    <row r="74" spans="2:6" s="70" customFormat="1" ht="20.100000000000001" customHeight="1" x14ac:dyDescent="0.3">
      <c r="B74" s="101" t="s">
        <v>156</v>
      </c>
      <c r="C74" s="57">
        <v>10</v>
      </c>
      <c r="D74" s="101" t="s">
        <v>128</v>
      </c>
      <c r="E74" s="102" t="s">
        <v>128</v>
      </c>
      <c r="F74" s="101"/>
    </row>
    <row r="75" spans="2:6" ht="20.100000000000001" customHeight="1" x14ac:dyDescent="0.3">
      <c r="B75" s="25" t="s">
        <v>215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3" t="s">
        <v>228</v>
      </c>
      <c r="C78" s="104"/>
      <c r="D78" s="104"/>
      <c r="E78" s="104"/>
      <c r="F78" s="104"/>
    </row>
    <row r="79" spans="2:6" ht="27.95" customHeight="1" x14ac:dyDescent="0.25">
      <c r="B79" s="61" t="s">
        <v>199</v>
      </c>
      <c r="C79" s="61" t="s">
        <v>148</v>
      </c>
      <c r="D79" s="61" t="s">
        <v>200</v>
      </c>
      <c r="E79" s="61" t="s">
        <v>201</v>
      </c>
      <c r="F79" s="61" t="s">
        <v>202</v>
      </c>
    </row>
    <row r="80" spans="2:6" ht="20.100000000000001" customHeight="1" x14ac:dyDescent="0.3">
      <c r="B80" s="18" t="s">
        <v>145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217</v>
      </c>
    </row>
    <row r="81" spans="2:6" ht="20.100000000000001" customHeight="1" x14ac:dyDescent="0.3">
      <c r="B81" s="18" t="s">
        <v>143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217</v>
      </c>
    </row>
    <row r="82" spans="2:6" ht="20.100000000000001" customHeight="1" x14ac:dyDescent="0.3">
      <c r="B82" s="18" t="s">
        <v>142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137</v>
      </c>
    </row>
    <row r="83" spans="2:6" ht="20.100000000000001" customHeight="1" x14ac:dyDescent="0.3">
      <c r="B83" s="18" t="s">
        <v>106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225</v>
      </c>
    </row>
    <row r="84" spans="2:6" ht="20.100000000000001" customHeight="1" x14ac:dyDescent="0.3">
      <c r="B84" s="18" t="s">
        <v>108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229</v>
      </c>
    </row>
    <row r="85" spans="2:6" ht="20.100000000000001" customHeight="1" x14ac:dyDescent="0.3">
      <c r="B85" s="18" t="s">
        <v>139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230</v>
      </c>
    </row>
    <row r="86" spans="2:6" ht="20.100000000000001" customHeight="1" x14ac:dyDescent="0.3">
      <c r="B86" s="18" t="s">
        <v>117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118</v>
      </c>
    </row>
    <row r="87" spans="2:6" ht="20.100000000000001" customHeight="1" x14ac:dyDescent="0.3">
      <c r="B87" s="18" t="s">
        <v>119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120</v>
      </c>
    </row>
    <row r="88" spans="2:6" ht="20.100000000000001" customHeight="1" x14ac:dyDescent="0.3">
      <c r="B88" s="18" t="s">
        <v>121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226</v>
      </c>
    </row>
    <row r="89" spans="2:6" ht="20.100000000000001" customHeight="1" x14ac:dyDescent="0.3">
      <c r="B89" s="18" t="s">
        <v>205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231</v>
      </c>
    </row>
    <row r="90" spans="2:6" ht="20.100000000000001" customHeight="1" x14ac:dyDescent="0.3">
      <c r="B90" s="18" t="s">
        <v>220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221</v>
      </c>
    </row>
    <row r="91" spans="2:6" ht="20.100000000000001" customHeight="1" x14ac:dyDescent="0.3">
      <c r="B91" s="59" t="s">
        <v>207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208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209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222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211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212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223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214</v>
      </c>
      <c r="C98" s="41"/>
      <c r="D98" s="41"/>
      <c r="E98" s="58">
        <f>(E93+E97)*'Custo de Serviços'!$D$47</f>
        <v>1092.1654227167999</v>
      </c>
      <c r="F98" s="41"/>
    </row>
    <row r="99" spans="2:6" s="70" customFormat="1" ht="20.100000000000001" customHeight="1" x14ac:dyDescent="0.3">
      <c r="B99" s="101" t="s">
        <v>156</v>
      </c>
      <c r="C99" s="57">
        <v>12</v>
      </c>
      <c r="D99" s="101" t="s">
        <v>128</v>
      </c>
      <c r="E99" s="102" t="s">
        <v>128</v>
      </c>
      <c r="F99" s="101"/>
    </row>
    <row r="100" spans="2:6" ht="20.100000000000001" customHeight="1" x14ac:dyDescent="0.3">
      <c r="B100" s="25" t="s">
        <v>215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3" t="s">
        <v>232</v>
      </c>
      <c r="C102" s="104"/>
      <c r="D102" s="104"/>
      <c r="E102" s="104"/>
      <c r="F102" s="104"/>
    </row>
    <row r="103" spans="2:6" ht="27.95" customHeight="1" x14ac:dyDescent="0.25">
      <c r="B103" s="61" t="s">
        <v>199</v>
      </c>
      <c r="C103" s="61">
        <v>12</v>
      </c>
      <c r="D103" s="61" t="s">
        <v>200</v>
      </c>
      <c r="E103" s="61" t="s">
        <v>201</v>
      </c>
      <c r="F103" s="61" t="s">
        <v>202</v>
      </c>
    </row>
    <row r="104" spans="2:6" ht="20.100000000000001" customHeight="1" x14ac:dyDescent="0.3">
      <c r="B104" s="18" t="s">
        <v>145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217</v>
      </c>
    </row>
    <row r="105" spans="2:6" ht="20.100000000000001" customHeight="1" x14ac:dyDescent="0.3">
      <c r="B105" s="18" t="s">
        <v>143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217</v>
      </c>
    </row>
    <row r="106" spans="2:6" ht="20.100000000000001" customHeight="1" x14ac:dyDescent="0.3">
      <c r="B106" s="18" t="s">
        <v>142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137</v>
      </c>
    </row>
    <row r="107" spans="2:6" ht="20.100000000000001" customHeight="1" x14ac:dyDescent="0.3">
      <c r="B107" s="18" t="s">
        <v>106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225</v>
      </c>
    </row>
    <row r="108" spans="2:6" ht="20.100000000000001" customHeight="1" x14ac:dyDescent="0.3">
      <c r="B108" s="18" t="s">
        <v>108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229</v>
      </c>
    </row>
    <row r="109" spans="2:6" ht="20.100000000000001" customHeight="1" x14ac:dyDescent="0.3">
      <c r="B109" s="18" t="s">
        <v>179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233</v>
      </c>
    </row>
    <row r="110" spans="2:6" ht="20.100000000000001" customHeight="1" x14ac:dyDescent="0.3">
      <c r="B110" s="18" t="s">
        <v>139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230</v>
      </c>
    </row>
    <row r="111" spans="2:6" ht="20.100000000000001" customHeight="1" x14ac:dyDescent="0.3">
      <c r="B111" s="18" t="s">
        <v>117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234</v>
      </c>
    </row>
    <row r="112" spans="2:6" ht="20.100000000000001" customHeight="1" x14ac:dyDescent="0.3">
      <c r="B112" s="18" t="s">
        <v>119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120</v>
      </c>
    </row>
    <row r="113" spans="2:6" ht="20.100000000000001" customHeight="1" x14ac:dyDescent="0.3">
      <c r="B113" s="18" t="s">
        <v>121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226</v>
      </c>
    </row>
    <row r="114" spans="2:6" ht="20.100000000000001" customHeight="1" x14ac:dyDescent="0.3">
      <c r="B114" s="18" t="s">
        <v>205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235</v>
      </c>
    </row>
    <row r="115" spans="2:6" ht="20.100000000000001" customHeight="1" x14ac:dyDescent="0.3">
      <c r="B115" s="18" t="s">
        <v>220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221</v>
      </c>
    </row>
    <row r="116" spans="2:6" ht="20.100000000000001" customHeight="1" x14ac:dyDescent="0.3">
      <c r="B116" s="59" t="s">
        <v>207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208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209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222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211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212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223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214</v>
      </c>
      <c r="C123" s="41"/>
      <c r="D123" s="41"/>
      <c r="E123" s="58">
        <f>(E118+E122)*'Custo de Serviços'!$D$47</f>
        <v>1693.3174227168001</v>
      </c>
      <c r="F123" s="41"/>
    </row>
    <row r="124" spans="2:6" s="70" customFormat="1" ht="20.100000000000001" customHeight="1" x14ac:dyDescent="0.3">
      <c r="B124" s="101" t="s">
        <v>156</v>
      </c>
      <c r="C124" s="57">
        <v>12</v>
      </c>
      <c r="D124" s="101" t="s">
        <v>128</v>
      </c>
      <c r="E124" s="102" t="s">
        <v>128</v>
      </c>
      <c r="F124" s="101"/>
    </row>
    <row r="125" spans="2:6" ht="20.100000000000001" customHeight="1" x14ac:dyDescent="0.3">
      <c r="B125" s="25" t="s">
        <v>215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8" width="9" style="74" customWidth="1"/>
    <col min="9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0</v>
      </c>
    </row>
    <row r="3" spans="2:6" ht="20.100000000000001" customHeight="1" x14ac:dyDescent="0.25">
      <c r="D3" s="76" t="s">
        <v>1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2</v>
      </c>
    </row>
    <row r="7" spans="2:6" ht="27.95" customHeight="1" x14ac:dyDescent="0.2">
      <c r="B7" s="61" t="s">
        <v>3</v>
      </c>
      <c r="C7" s="61" t="s">
        <v>4</v>
      </c>
      <c r="D7" s="61" t="s">
        <v>5</v>
      </c>
      <c r="E7" s="61" t="s">
        <v>6</v>
      </c>
      <c r="F7" s="61" t="s">
        <v>7</v>
      </c>
    </row>
    <row r="8" spans="2:6" ht="20.100000000000001" customHeight="1" x14ac:dyDescent="0.25">
      <c r="B8" s="77" t="s">
        <v>8</v>
      </c>
      <c r="C8" s="78" t="s">
        <v>9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10</v>
      </c>
      <c r="C9" s="82" t="s">
        <v>11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12</v>
      </c>
      <c r="C10" s="78" t="s">
        <v>13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14</v>
      </c>
      <c r="C11" s="78" t="s">
        <v>15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16</v>
      </c>
      <c r="C12" s="82" t="s">
        <v>17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18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19</v>
      </c>
    </row>
    <row r="17" spans="2:7" ht="27.95" customHeight="1" x14ac:dyDescent="0.2">
      <c r="B17" s="61" t="s">
        <v>20</v>
      </c>
      <c r="C17" s="61" t="s">
        <v>21</v>
      </c>
      <c r="D17" s="61" t="s">
        <v>22</v>
      </c>
      <c r="E17" s="61" t="s">
        <v>23</v>
      </c>
      <c r="F17" s="61" t="s">
        <v>24</v>
      </c>
      <c r="G17" s="61" t="s">
        <v>25</v>
      </c>
    </row>
    <row r="18" spans="2:7" ht="20.100000000000001" customHeight="1" x14ac:dyDescent="0.25">
      <c r="B18" s="77" t="s">
        <v>26</v>
      </c>
      <c r="C18" s="88" t="s">
        <v>27</v>
      </c>
      <c r="D18" s="80">
        <v>25</v>
      </c>
      <c r="E18" s="89" t="str">
        <f ca="1">E18/3</f>
        <v/>
      </c>
      <c r="F18" s="78" t="s">
        <v>28</v>
      </c>
      <c r="G18" s="78" t="s">
        <v>29</v>
      </c>
    </row>
    <row r="19" spans="2:7" ht="20.100000000000001" customHeight="1" x14ac:dyDescent="0.25">
      <c r="B19" s="81" t="s">
        <v>30</v>
      </c>
      <c r="C19" s="90" t="s">
        <v>31</v>
      </c>
      <c r="D19" s="84">
        <v>300</v>
      </c>
      <c r="E19" s="91" t="str">
        <f ca="1">(E19-E18)/9</f>
        <v/>
      </c>
      <c r="F19" s="82" t="s">
        <v>32</v>
      </c>
      <c r="G19" s="82" t="s">
        <v>33</v>
      </c>
    </row>
    <row r="20" spans="2:7" ht="20.100000000000001" customHeight="1" x14ac:dyDescent="0.25">
      <c r="B20" s="77" t="s">
        <v>34</v>
      </c>
      <c r="C20" s="88" t="s">
        <v>35</v>
      </c>
      <c r="D20" s="80">
        <v>1000</v>
      </c>
      <c r="E20" s="89" t="str">
        <f ca="1">(E20-E19)/12</f>
        <v/>
      </c>
      <c r="F20" s="78" t="s">
        <v>36</v>
      </c>
      <c r="G20" s="78" t="s">
        <v>37</v>
      </c>
    </row>
    <row r="21" spans="2:7" ht="20.100000000000001" customHeight="1" x14ac:dyDescent="0.25">
      <c r="B21" s="85" t="s">
        <v>38</v>
      </c>
      <c r="C21" s="92" t="s">
        <v>39</v>
      </c>
      <c r="D21" s="93" t="str">
        <f ca="1">E20</f>
        <v/>
      </c>
      <c r="E21" s="94" t="str">
        <f ca="1">E21/24</f>
        <v/>
      </c>
      <c r="F21" s="85" t="s">
        <v>40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41</v>
      </c>
    </row>
    <row r="25" spans="2:7" ht="27.95" customHeight="1" x14ac:dyDescent="0.2">
      <c r="B25" s="61" t="s">
        <v>42</v>
      </c>
      <c r="C25" s="61" t="s">
        <v>43</v>
      </c>
      <c r="D25" s="61" t="s">
        <v>44</v>
      </c>
      <c r="E25" s="61" t="s">
        <v>45</v>
      </c>
      <c r="F25" s="61" t="s">
        <v>46</v>
      </c>
    </row>
    <row r="26" spans="2:7" ht="20.100000000000001" customHeight="1" x14ac:dyDescent="0.25">
      <c r="B26" s="77" t="s">
        <v>47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48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49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50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51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52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"/>
  <sheetViews>
    <sheetView workbookViewId="0">
      <selection activeCell="B3" sqref="B3"/>
    </sheetView>
  </sheetViews>
  <sheetFormatPr defaultRowHeight="15.75" x14ac:dyDescent="0.25"/>
  <sheetData>
    <row r="1" spans="1:3" x14ac:dyDescent="0.25">
      <c r="A1" t="s">
        <v>236</v>
      </c>
      <c r="B1" t="s">
        <v>237</v>
      </c>
      <c r="C1" t="s">
        <v>238</v>
      </c>
    </row>
    <row r="2" spans="1:3" x14ac:dyDescent="0.25">
      <c r="A2" t="s">
        <v>239</v>
      </c>
      <c r="B2">
        <v>2</v>
      </c>
      <c r="C2" t="s">
        <v>240</v>
      </c>
    </row>
    <row r="3" spans="1:3" x14ac:dyDescent="0.25">
      <c r="A3" t="s">
        <v>241</v>
      </c>
      <c r="B3">
        <v>1</v>
      </c>
      <c r="C3" t="s">
        <v>163</v>
      </c>
    </row>
    <row r="4" spans="1:3" x14ac:dyDescent="0.25">
      <c r="A4" t="s">
        <v>242</v>
      </c>
      <c r="B4">
        <v>3</v>
      </c>
      <c r="C4" t="s">
        <v>166</v>
      </c>
    </row>
    <row r="5" spans="1:3" x14ac:dyDescent="0.25">
      <c r="A5" t="s">
        <v>243</v>
      </c>
      <c r="B5">
        <v>4</v>
      </c>
      <c r="C5" t="s">
        <v>169</v>
      </c>
    </row>
    <row r="6" spans="1:3" x14ac:dyDescent="0.25">
      <c r="A6" t="s">
        <v>244</v>
      </c>
      <c r="B6">
        <v>5</v>
      </c>
      <c r="C6" t="s">
        <v>174</v>
      </c>
    </row>
    <row r="7" spans="1:3" x14ac:dyDescent="0.25">
      <c r="A7" t="s">
        <v>245</v>
      </c>
      <c r="B7">
        <v>6</v>
      </c>
      <c r="C7" t="s">
        <v>113</v>
      </c>
    </row>
    <row r="8" spans="1:3" x14ac:dyDescent="0.25">
      <c r="A8" t="s">
        <v>246</v>
      </c>
      <c r="B8">
        <v>7</v>
      </c>
      <c r="C8" t="s">
        <v>247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0"/>
  <sheetViews>
    <sheetView tabSelected="1" workbookViewId="0">
      <selection activeCell="F10" sqref="F10"/>
    </sheetView>
  </sheetViews>
  <sheetFormatPr defaultRowHeight="15.75" x14ac:dyDescent="0.25"/>
  <cols>
    <col min="2" max="2" width="9" style="70"/>
    <col min="5" max="5" width="32.375" customWidth="1"/>
  </cols>
  <sheetData>
    <row r="1" spans="1:8" x14ac:dyDescent="0.25">
      <c r="A1" s="70" t="s">
        <v>236</v>
      </c>
      <c r="C1" s="70" t="s">
        <v>248</v>
      </c>
      <c r="D1" s="70" t="s">
        <v>237</v>
      </c>
      <c r="E1" s="70" t="s">
        <v>249</v>
      </c>
      <c r="F1" s="70" t="s">
        <v>250</v>
      </c>
      <c r="G1" s="70" t="s">
        <v>251</v>
      </c>
      <c r="H1" s="70" t="s">
        <v>252</v>
      </c>
    </row>
    <row r="2" spans="1:8" x14ac:dyDescent="0.25">
      <c r="A2" s="70" t="s">
        <v>239</v>
      </c>
      <c r="B2" s="70" t="s">
        <v>240</v>
      </c>
      <c r="C2" s="70" t="s">
        <v>253</v>
      </c>
      <c r="D2" s="70">
        <v>1</v>
      </c>
      <c r="E2" s="70" t="s">
        <v>254</v>
      </c>
      <c r="F2" s="70" t="s">
        <v>255</v>
      </c>
      <c r="G2" s="70" t="s">
        <v>256</v>
      </c>
      <c r="H2" s="70" t="s">
        <v>324</v>
      </c>
    </row>
    <row r="3" spans="1:8" x14ac:dyDescent="0.25">
      <c r="A3" s="70" t="s">
        <v>239</v>
      </c>
      <c r="B3" s="70" t="s">
        <v>240</v>
      </c>
      <c r="C3" s="70" t="s">
        <v>257</v>
      </c>
      <c r="D3" s="70">
        <v>2</v>
      </c>
      <c r="E3" s="70" t="s">
        <v>258</v>
      </c>
      <c r="F3" s="70" t="s">
        <v>259</v>
      </c>
      <c r="G3" s="70" t="s">
        <v>260</v>
      </c>
      <c r="H3" s="70" t="s">
        <v>325</v>
      </c>
    </row>
    <row r="4" spans="1:8" x14ac:dyDescent="0.25">
      <c r="A4" s="70" t="s">
        <v>239</v>
      </c>
      <c r="B4" s="70" t="s">
        <v>240</v>
      </c>
      <c r="C4" s="70" t="s">
        <v>261</v>
      </c>
      <c r="D4" s="70">
        <v>3</v>
      </c>
      <c r="E4" s="70" t="s">
        <v>262</v>
      </c>
      <c r="F4" s="70" t="s">
        <v>263</v>
      </c>
      <c r="G4" s="70" t="s">
        <v>264</v>
      </c>
      <c r="H4" s="70" t="s">
        <v>338</v>
      </c>
    </row>
    <row r="5" spans="1:8" s="70" customFormat="1" x14ac:dyDescent="0.25">
      <c r="A5" s="70" t="s">
        <v>241</v>
      </c>
      <c r="B5" s="70" t="s">
        <v>163</v>
      </c>
      <c r="C5" s="70" t="s">
        <v>333</v>
      </c>
      <c r="D5" s="70">
        <v>1</v>
      </c>
      <c r="E5" s="70" t="s">
        <v>327</v>
      </c>
      <c r="F5" s="70" t="s">
        <v>259</v>
      </c>
      <c r="G5" s="70" t="s">
        <v>326</v>
      </c>
      <c r="H5" s="70" t="s">
        <v>339</v>
      </c>
    </row>
    <row r="6" spans="1:8" s="70" customFormat="1" x14ac:dyDescent="0.25">
      <c r="A6" s="70" t="s">
        <v>241</v>
      </c>
      <c r="B6" s="70" t="s">
        <v>163</v>
      </c>
      <c r="C6" s="70" t="s">
        <v>353</v>
      </c>
      <c r="D6" s="70" t="s">
        <v>354</v>
      </c>
      <c r="E6" s="70" t="s">
        <v>319</v>
      </c>
      <c r="F6" s="70" t="s">
        <v>259</v>
      </c>
      <c r="G6" s="70" t="s">
        <v>355</v>
      </c>
      <c r="H6" s="70" t="s">
        <v>347</v>
      </c>
    </row>
    <row r="7" spans="1:8" s="70" customFormat="1" x14ac:dyDescent="0.25">
      <c r="A7" s="70" t="s">
        <v>241</v>
      </c>
      <c r="B7" s="70" t="s">
        <v>163</v>
      </c>
      <c r="C7" s="70" t="s">
        <v>356</v>
      </c>
      <c r="D7" s="70" t="s">
        <v>357</v>
      </c>
      <c r="E7" s="70" t="s">
        <v>368</v>
      </c>
      <c r="F7" s="70" t="s">
        <v>259</v>
      </c>
      <c r="G7" s="70" t="s">
        <v>358</v>
      </c>
      <c r="H7" s="70" t="s">
        <v>359</v>
      </c>
    </row>
    <row r="8" spans="1:8" s="70" customFormat="1" x14ac:dyDescent="0.25">
      <c r="A8" s="70" t="s">
        <v>241</v>
      </c>
      <c r="B8" s="70" t="s">
        <v>163</v>
      </c>
      <c r="C8" s="70" t="s">
        <v>360</v>
      </c>
      <c r="D8" s="70" t="s">
        <v>361</v>
      </c>
      <c r="E8" s="70" t="s">
        <v>369</v>
      </c>
      <c r="F8" s="70" t="s">
        <v>259</v>
      </c>
      <c r="G8" s="70" t="s">
        <v>362</v>
      </c>
      <c r="H8" s="70" t="s">
        <v>369</v>
      </c>
    </row>
    <row r="9" spans="1:8" s="70" customFormat="1" x14ac:dyDescent="0.25">
      <c r="A9" s="70" t="s">
        <v>241</v>
      </c>
      <c r="B9" s="70" t="s">
        <v>163</v>
      </c>
      <c r="C9" s="70" t="s">
        <v>363</v>
      </c>
      <c r="D9" s="70" t="s">
        <v>364</v>
      </c>
      <c r="E9" s="70" t="s">
        <v>370</v>
      </c>
      <c r="F9" s="70" t="s">
        <v>259</v>
      </c>
      <c r="G9" s="70" t="s">
        <v>365</v>
      </c>
      <c r="H9" s="70" t="s">
        <v>372</v>
      </c>
    </row>
    <row r="10" spans="1:8" x14ac:dyDescent="0.25">
      <c r="A10" s="70" t="s">
        <v>241</v>
      </c>
      <c r="B10" s="70" t="s">
        <v>163</v>
      </c>
      <c r="C10" s="70" t="s">
        <v>334</v>
      </c>
      <c r="D10" s="70">
        <v>3</v>
      </c>
      <c r="E10" s="70" t="s">
        <v>328</v>
      </c>
      <c r="F10" s="70" t="s">
        <v>259</v>
      </c>
      <c r="G10" s="70" t="s">
        <v>371</v>
      </c>
      <c r="H10" s="70" t="s">
        <v>373</v>
      </c>
    </row>
    <row r="11" spans="1:8" x14ac:dyDescent="0.25">
      <c r="A11" s="70" t="s">
        <v>241</v>
      </c>
      <c r="B11" s="70" t="s">
        <v>163</v>
      </c>
      <c r="C11" s="70" t="s">
        <v>330</v>
      </c>
      <c r="D11" s="70">
        <v>4</v>
      </c>
      <c r="E11" s="70" t="s">
        <v>329</v>
      </c>
      <c r="F11" s="70" t="s">
        <v>259</v>
      </c>
      <c r="G11" s="70" t="s">
        <v>330</v>
      </c>
      <c r="H11" s="70" t="s">
        <v>340</v>
      </c>
    </row>
    <row r="12" spans="1:8" s="70" customFormat="1" x14ac:dyDescent="0.25">
      <c r="A12" s="70" t="s">
        <v>241</v>
      </c>
      <c r="B12" s="70" t="s">
        <v>163</v>
      </c>
      <c r="C12" s="70" t="s">
        <v>335</v>
      </c>
      <c r="D12" s="70" t="s">
        <v>336</v>
      </c>
      <c r="E12" s="70" t="s">
        <v>331</v>
      </c>
      <c r="F12" s="70" t="s">
        <v>259</v>
      </c>
      <c r="G12" s="70" t="s">
        <v>332</v>
      </c>
      <c r="H12" s="70" t="s">
        <v>366</v>
      </c>
    </row>
    <row r="13" spans="1:8" x14ac:dyDescent="0.25">
      <c r="A13" s="70" t="s">
        <v>241</v>
      </c>
      <c r="B13" s="70" t="s">
        <v>163</v>
      </c>
      <c r="C13" s="70" t="s">
        <v>266</v>
      </c>
      <c r="D13" s="70" t="s">
        <v>337</v>
      </c>
      <c r="E13" s="70" t="s">
        <v>331</v>
      </c>
      <c r="F13" s="70" t="s">
        <v>259</v>
      </c>
      <c r="G13" s="70" t="s">
        <v>267</v>
      </c>
      <c r="H13" s="70" t="s">
        <v>367</v>
      </c>
    </row>
    <row r="14" spans="1:8" s="70" customFormat="1" x14ac:dyDescent="0.25">
      <c r="A14" s="70" t="s">
        <v>242</v>
      </c>
      <c r="B14" s="70" t="s">
        <v>166</v>
      </c>
      <c r="C14" s="70" t="s">
        <v>268</v>
      </c>
      <c r="D14" s="70">
        <v>1</v>
      </c>
      <c r="E14" s="70" t="s">
        <v>294</v>
      </c>
      <c r="F14" s="70" t="s">
        <v>259</v>
      </c>
      <c r="G14" s="70" t="s">
        <v>269</v>
      </c>
      <c r="H14" s="70" t="s">
        <v>341</v>
      </c>
    </row>
    <row r="15" spans="1:8" s="70" customFormat="1" x14ac:dyDescent="0.25">
      <c r="A15" s="70" t="s">
        <v>242</v>
      </c>
      <c r="B15" s="70" t="s">
        <v>166</v>
      </c>
      <c r="C15" s="70" t="s">
        <v>301</v>
      </c>
      <c r="D15" s="70">
        <v>2</v>
      </c>
      <c r="E15" s="70" t="s">
        <v>299</v>
      </c>
      <c r="F15" s="70" t="s">
        <v>259</v>
      </c>
      <c r="G15" s="70" t="s">
        <v>297</v>
      </c>
      <c r="H15" s="70" t="s">
        <v>342</v>
      </c>
    </row>
    <row r="16" spans="1:8" x14ac:dyDescent="0.25">
      <c r="A16" s="70" t="s">
        <v>242</v>
      </c>
      <c r="B16" s="70" t="s">
        <v>166</v>
      </c>
      <c r="C16" s="70" t="s">
        <v>302</v>
      </c>
      <c r="D16" s="70">
        <v>3</v>
      </c>
      <c r="E16" s="70" t="s">
        <v>300</v>
      </c>
      <c r="F16" s="70" t="s">
        <v>259</v>
      </c>
      <c r="G16" s="70" t="s">
        <v>296</v>
      </c>
      <c r="H16" s="70" t="s">
        <v>343</v>
      </c>
    </row>
    <row r="17" spans="1:8" s="70" customFormat="1" x14ac:dyDescent="0.25">
      <c r="A17" s="70" t="s">
        <v>242</v>
      </c>
      <c r="B17" s="70" t="s">
        <v>166</v>
      </c>
      <c r="C17" s="70" t="s">
        <v>303</v>
      </c>
      <c r="D17" s="70">
        <v>4</v>
      </c>
      <c r="E17" s="70" t="s">
        <v>298</v>
      </c>
      <c r="F17" s="70" t="s">
        <v>259</v>
      </c>
      <c r="G17" s="70" t="s">
        <v>295</v>
      </c>
      <c r="H17" s="70" t="s">
        <v>344</v>
      </c>
    </row>
    <row r="18" spans="1:8" s="70" customFormat="1" x14ac:dyDescent="0.25">
      <c r="A18" s="70" t="s">
        <v>242</v>
      </c>
      <c r="B18" s="70" t="s">
        <v>166</v>
      </c>
      <c r="C18" s="70" t="s">
        <v>270</v>
      </c>
      <c r="D18" s="70">
        <v>5</v>
      </c>
      <c r="E18" s="70" t="s">
        <v>316</v>
      </c>
      <c r="F18" s="70" t="s">
        <v>263</v>
      </c>
      <c r="G18" s="70" t="s">
        <v>271</v>
      </c>
      <c r="H18" s="70" t="s">
        <v>345</v>
      </c>
    </row>
    <row r="19" spans="1:8" s="70" customFormat="1" x14ac:dyDescent="0.25">
      <c r="A19" s="70" t="s">
        <v>243</v>
      </c>
      <c r="B19" s="70" t="s">
        <v>169</v>
      </c>
      <c r="C19" s="70" t="s">
        <v>306</v>
      </c>
      <c r="D19" s="70">
        <v>1</v>
      </c>
      <c r="E19" s="70" t="s">
        <v>305</v>
      </c>
      <c r="F19" s="70" t="s">
        <v>259</v>
      </c>
      <c r="G19" s="70" t="s">
        <v>304</v>
      </c>
      <c r="H19" s="70" t="s">
        <v>346</v>
      </c>
    </row>
    <row r="20" spans="1:8" s="70" customFormat="1" x14ac:dyDescent="0.25">
      <c r="A20" s="70" t="s">
        <v>243</v>
      </c>
      <c r="B20" s="70" t="s">
        <v>169</v>
      </c>
      <c r="C20" s="70" t="s">
        <v>312</v>
      </c>
      <c r="D20" s="70">
        <v>2</v>
      </c>
      <c r="E20" s="70" t="s">
        <v>319</v>
      </c>
      <c r="F20" s="70" t="s">
        <v>259</v>
      </c>
      <c r="G20" s="70" t="s">
        <v>307</v>
      </c>
      <c r="H20" s="70" t="s">
        <v>347</v>
      </c>
    </row>
    <row r="21" spans="1:8" s="70" customFormat="1" x14ac:dyDescent="0.25">
      <c r="A21" s="70" t="s">
        <v>243</v>
      </c>
      <c r="B21" s="70" t="s">
        <v>169</v>
      </c>
      <c r="C21" s="70" t="s">
        <v>313</v>
      </c>
      <c r="D21" s="70">
        <v>3</v>
      </c>
      <c r="E21" s="70" t="s">
        <v>320</v>
      </c>
      <c r="F21" s="70" t="s">
        <v>259</v>
      </c>
      <c r="G21" s="70" t="s">
        <v>310</v>
      </c>
      <c r="H21" s="70" t="s">
        <v>348</v>
      </c>
    </row>
    <row r="22" spans="1:8" x14ac:dyDescent="0.25">
      <c r="A22" s="70" t="s">
        <v>243</v>
      </c>
      <c r="B22" s="70" t="s">
        <v>169</v>
      </c>
      <c r="C22" s="70" t="s">
        <v>314</v>
      </c>
      <c r="D22" s="70">
        <v>4</v>
      </c>
      <c r="E22" s="70" t="s">
        <v>321</v>
      </c>
      <c r="F22" s="70" t="s">
        <v>259</v>
      </c>
      <c r="G22" s="70" t="s">
        <v>311</v>
      </c>
      <c r="H22" s="70" t="s">
        <v>349</v>
      </c>
    </row>
    <row r="23" spans="1:8" x14ac:dyDescent="0.25">
      <c r="A23" s="70" t="s">
        <v>243</v>
      </c>
      <c r="B23" s="70" t="s">
        <v>169</v>
      </c>
      <c r="C23" s="70" t="s">
        <v>315</v>
      </c>
      <c r="D23" s="70">
        <v>5</v>
      </c>
      <c r="E23" s="70" t="s">
        <v>322</v>
      </c>
      <c r="F23" s="70" t="s">
        <v>259</v>
      </c>
      <c r="G23" s="70" t="s">
        <v>308</v>
      </c>
      <c r="H23" s="70" t="s">
        <v>350</v>
      </c>
    </row>
    <row r="24" spans="1:8" x14ac:dyDescent="0.25">
      <c r="A24" s="70" t="s">
        <v>243</v>
      </c>
      <c r="B24" s="70" t="s">
        <v>169</v>
      </c>
      <c r="C24" s="70" t="s">
        <v>272</v>
      </c>
      <c r="D24" s="70" t="s">
        <v>317</v>
      </c>
      <c r="E24" s="70" t="s">
        <v>323</v>
      </c>
      <c r="F24" s="70" t="s">
        <v>259</v>
      </c>
      <c r="G24" s="70" t="s">
        <v>309</v>
      </c>
      <c r="H24" s="70" t="s">
        <v>351</v>
      </c>
    </row>
    <row r="25" spans="1:8" x14ac:dyDescent="0.25">
      <c r="A25" s="70" t="s">
        <v>243</v>
      </c>
      <c r="B25" s="70" t="s">
        <v>169</v>
      </c>
      <c r="C25" s="70" t="s">
        <v>272</v>
      </c>
      <c r="D25" s="70" t="s">
        <v>318</v>
      </c>
      <c r="E25" s="70" t="s">
        <v>323</v>
      </c>
      <c r="F25" s="70" t="s">
        <v>263</v>
      </c>
      <c r="G25" s="70" t="s">
        <v>273</v>
      </c>
      <c r="H25" s="70" t="s">
        <v>352</v>
      </c>
    </row>
    <row r="26" spans="1:8" x14ac:dyDescent="0.25">
      <c r="A26" s="70" t="s">
        <v>244</v>
      </c>
      <c r="B26" s="70" t="s">
        <v>174</v>
      </c>
      <c r="C26" s="70" t="s">
        <v>274</v>
      </c>
      <c r="D26" s="70">
        <v>1</v>
      </c>
      <c r="E26" s="70" t="s">
        <v>275</v>
      </c>
      <c r="F26" s="70" t="s">
        <v>265</v>
      </c>
      <c r="G26" s="70" t="s">
        <v>276</v>
      </c>
      <c r="H26" s="70" t="s">
        <v>277</v>
      </c>
    </row>
    <row r="27" spans="1:8" x14ac:dyDescent="0.25">
      <c r="A27" s="70" t="s">
        <v>244</v>
      </c>
      <c r="B27" s="70" t="s">
        <v>174</v>
      </c>
      <c r="C27" s="70" t="s">
        <v>278</v>
      </c>
      <c r="D27" s="70">
        <v>2</v>
      </c>
      <c r="E27" s="70" t="s">
        <v>279</v>
      </c>
      <c r="F27" s="70" t="s">
        <v>263</v>
      </c>
      <c r="G27" s="70" t="s">
        <v>280</v>
      </c>
      <c r="H27" s="70" t="s">
        <v>281</v>
      </c>
    </row>
    <row r="28" spans="1:8" x14ac:dyDescent="0.25">
      <c r="A28" s="70" t="s">
        <v>245</v>
      </c>
      <c r="B28" s="70" t="s">
        <v>113</v>
      </c>
      <c r="C28" s="70" t="s">
        <v>282</v>
      </c>
      <c r="D28" s="70">
        <v>1</v>
      </c>
      <c r="E28" s="70" t="s">
        <v>283</v>
      </c>
      <c r="F28" s="70" t="s">
        <v>265</v>
      </c>
      <c r="G28" s="70" t="s">
        <v>284</v>
      </c>
      <c r="H28" s="70" t="s">
        <v>285</v>
      </c>
    </row>
    <row r="29" spans="1:8" x14ac:dyDescent="0.25">
      <c r="A29" s="70" t="s">
        <v>245</v>
      </c>
      <c r="B29" s="70" t="s">
        <v>113</v>
      </c>
      <c r="C29" s="70" t="s">
        <v>286</v>
      </c>
      <c r="D29" s="70">
        <v>2</v>
      </c>
      <c r="E29" s="70" t="s">
        <v>287</v>
      </c>
      <c r="F29" s="70" t="s">
        <v>263</v>
      </c>
      <c r="G29" s="70" t="s">
        <v>288</v>
      </c>
      <c r="H29" s="70" t="s">
        <v>289</v>
      </c>
    </row>
    <row r="30" spans="1:8" x14ac:dyDescent="0.25">
      <c r="A30" s="70" t="s">
        <v>246</v>
      </c>
      <c r="B30" s="70" t="s">
        <v>247</v>
      </c>
      <c r="C30" s="70" t="s">
        <v>290</v>
      </c>
      <c r="D30" s="70">
        <v>1</v>
      </c>
      <c r="E30" s="70" t="s">
        <v>291</v>
      </c>
      <c r="F30" s="70" t="s">
        <v>259</v>
      </c>
      <c r="G30" s="70" t="s">
        <v>292</v>
      </c>
      <c r="H30" s="70" t="s">
        <v>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2026-06-25T21:59:47Z</dcterms:modified>
</cp:coreProperties>
</file>