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BPlen_HUB\Dev\portfolio\"/>
    </mc:Choice>
  </mc:AlternateContent>
  <xr:revisionPtr revIDLastSave="0" documentId="13_ncr:1_{3632CEBB-CC08-49C2-8BA7-397BF2C7104B}" xr6:coauthVersionLast="47" xr6:coauthVersionMax="47" xr10:uidLastSave="{00000000-0000-0000-0000-000000000000}"/>
  <bookViews>
    <workbookView xWindow="-120" yWindow="-120" windowWidth="29040" windowHeight="15990" tabRatio="728" activeTab="8" xr2:uid="{00000000-000D-0000-FFFF-FFFF00000000}"/>
  </bookViews>
  <sheets>
    <sheet name="Custos gerais" sheetId="1" r:id="rId1"/>
    <sheet name="BPlen HUB Custos" sheetId="2" r:id="rId2"/>
    <sheet name="MentoCoach Custos" sheetId="3" r:id="rId3"/>
    <sheet name="Referencias de Custos" sheetId="4" r:id="rId4"/>
    <sheet name="Custo de Serviços" sheetId="5" r:id="rId5"/>
    <sheet name="Pacotes de Serviço" sheetId="6" r:id="rId6"/>
    <sheet name="Metas" sheetId="7" r:id="rId7"/>
    <sheet name="Jornada" sheetId="8" r:id="rId8"/>
    <sheet name="Checkpoints" sheetId="9" r:id="rId9"/>
    <sheet name="Atributo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7" l="1"/>
  <c r="C30" i="7"/>
  <c r="C29" i="7"/>
  <c r="C28" i="7"/>
  <c r="C27" i="7"/>
  <c r="C26" i="7"/>
  <c r="F12" i="7"/>
  <c r="D12" i="7"/>
  <c r="D10" i="7"/>
  <c r="F10" i="7" s="1"/>
  <c r="D9" i="7"/>
  <c r="F9" i="7" s="1"/>
  <c r="D113" i="6"/>
  <c r="E113" i="6" s="1"/>
  <c r="D109" i="6"/>
  <c r="E109" i="6" s="1"/>
  <c r="D105" i="6"/>
  <c r="E105" i="6" s="1"/>
  <c r="D89" i="6"/>
  <c r="C89" i="6"/>
  <c r="E89" i="6" s="1"/>
  <c r="D88" i="6"/>
  <c r="E88" i="6" s="1"/>
  <c r="D85" i="6"/>
  <c r="E85" i="6" s="1"/>
  <c r="D81" i="6"/>
  <c r="E81" i="6" s="1"/>
  <c r="D64" i="6"/>
  <c r="C64" i="6"/>
  <c r="E64" i="6" s="1"/>
  <c r="D63" i="6"/>
  <c r="E63" i="6" s="1"/>
  <c r="D60" i="6"/>
  <c r="E60" i="6" s="1"/>
  <c r="D41" i="6"/>
  <c r="E41" i="6" s="1"/>
  <c r="C41" i="6"/>
  <c r="D21" i="6"/>
  <c r="E21" i="6" s="1"/>
  <c r="I12" i="6"/>
  <c r="J12" i="6" s="1"/>
  <c r="H12" i="6"/>
  <c r="I11" i="6"/>
  <c r="J11" i="6" s="1"/>
  <c r="H11" i="6"/>
  <c r="J10" i="6"/>
  <c r="I10" i="6"/>
  <c r="H10" i="6"/>
  <c r="J9" i="6"/>
  <c r="I9" i="6"/>
  <c r="H9" i="6"/>
  <c r="I8" i="6"/>
  <c r="J8" i="6" s="1"/>
  <c r="H8" i="6"/>
  <c r="E172" i="5"/>
  <c r="D172" i="5" s="1"/>
  <c r="E170" i="5"/>
  <c r="E164" i="5"/>
  <c r="E163" i="5"/>
  <c r="E155" i="5"/>
  <c r="E156" i="5" s="1"/>
  <c r="E157" i="5" s="1"/>
  <c r="E158" i="5" s="1"/>
  <c r="E143" i="5"/>
  <c r="D143" i="5"/>
  <c r="E141" i="5"/>
  <c r="E135" i="5"/>
  <c r="E134" i="5"/>
  <c r="E124" i="5"/>
  <c r="E123" i="5"/>
  <c r="E112" i="5"/>
  <c r="D112" i="5" s="1"/>
  <c r="E110" i="5"/>
  <c r="E104" i="5"/>
  <c r="E103" i="5"/>
  <c r="E82" i="5"/>
  <c r="D82" i="5"/>
  <c r="E80" i="5"/>
  <c r="E74" i="5"/>
  <c r="E73" i="5"/>
  <c r="E63" i="5"/>
  <c r="E51" i="5"/>
  <c r="D51" i="5" s="1"/>
  <c r="E49" i="5"/>
  <c r="E43" i="5"/>
  <c r="E42" i="5"/>
  <c r="E33" i="5"/>
  <c r="E24" i="5"/>
  <c r="E6" i="5"/>
  <c r="E7" i="5" s="1"/>
  <c r="E8" i="5" s="1"/>
  <c r="E9" i="5" s="1"/>
  <c r="D34" i="4"/>
  <c r="D104" i="6" s="1"/>
  <c r="E104" i="6" s="1"/>
  <c r="C34" i="4"/>
  <c r="C33" i="4"/>
  <c r="D33" i="4" s="1"/>
  <c r="D32" i="4"/>
  <c r="D58" i="6" s="1"/>
  <c r="E58" i="6" s="1"/>
  <c r="C32" i="4"/>
  <c r="C31" i="4"/>
  <c r="D31" i="4" s="1"/>
  <c r="D30" i="4"/>
  <c r="D42" i="6" s="1"/>
  <c r="E42" i="6" s="1"/>
  <c r="C30" i="4"/>
  <c r="D29" i="4"/>
  <c r="D110" i="6" s="1"/>
  <c r="E110" i="6" s="1"/>
  <c r="D26" i="4"/>
  <c r="D11" i="7" s="1"/>
  <c r="F11" i="7" s="1"/>
  <c r="D25" i="4"/>
  <c r="D18" i="4"/>
  <c r="D15" i="4"/>
  <c r="D14" i="4"/>
  <c r="D112" i="6" s="1"/>
  <c r="E112" i="6" s="1"/>
  <c r="D13" i="4"/>
  <c r="D111" i="6" s="1"/>
  <c r="E111" i="6" s="1"/>
  <c r="D10" i="4"/>
  <c r="D9" i="4"/>
  <c r="D6" i="4"/>
  <c r="D108" i="6" s="1"/>
  <c r="E108" i="6" s="1"/>
  <c r="D5" i="4"/>
  <c r="D38" i="6" s="1"/>
  <c r="E38" i="6" s="1"/>
  <c r="D2" i="4"/>
  <c r="D114" i="6" s="1"/>
  <c r="E114" i="6" s="1"/>
  <c r="D21" i="2"/>
  <c r="C21" i="2"/>
  <c r="C25" i="2" s="1"/>
  <c r="D8" i="7" s="1"/>
  <c r="D20" i="2"/>
  <c r="D4" i="1"/>
  <c r="F8" i="7" l="1"/>
  <c r="D13" i="7"/>
  <c r="D59" i="6"/>
  <c r="E59" i="6" s="1"/>
  <c r="E32" i="5"/>
  <c r="E34" i="5" s="1"/>
  <c r="E35" i="5" s="1"/>
  <c r="E36" i="5" s="1"/>
  <c r="D37" i="6"/>
  <c r="E37" i="6" s="1"/>
  <c r="D20" i="6"/>
  <c r="E20" i="6" s="1"/>
  <c r="D106" i="6"/>
  <c r="E106" i="6" s="1"/>
  <c r="E116" i="6" s="1"/>
  <c r="D82" i="6"/>
  <c r="E82" i="6" s="1"/>
  <c r="E12" i="5"/>
  <c r="E19" i="5"/>
  <c r="E167" i="5"/>
  <c r="E168" i="5" s="1"/>
  <c r="E160" i="5"/>
  <c r="E161" i="5" s="1"/>
  <c r="D39" i="6"/>
  <c r="E39" i="6" s="1"/>
  <c r="D19" i="6"/>
  <c r="E19" i="6" s="1"/>
  <c r="E92" i="5"/>
  <c r="E125" i="5"/>
  <c r="E126" i="5" s="1"/>
  <c r="E127" i="5" s="1"/>
  <c r="E128" i="5" s="1"/>
  <c r="D36" i="6"/>
  <c r="E36" i="6" s="1"/>
  <c r="D40" i="6"/>
  <c r="E40" i="6" s="1"/>
  <c r="D57" i="6"/>
  <c r="E57" i="6" s="1"/>
  <c r="D61" i="6"/>
  <c r="E61" i="6" s="1"/>
  <c r="D86" i="6"/>
  <c r="E86" i="6" s="1"/>
  <c r="D35" i="6"/>
  <c r="E35" i="6" s="1"/>
  <c r="E93" i="5"/>
  <c r="D65" i="6"/>
  <c r="E65" i="6" s="1"/>
  <c r="D90" i="6"/>
  <c r="E90" i="6" s="1"/>
  <c r="D62" i="6"/>
  <c r="E62" i="6" s="1"/>
  <c r="D83" i="6"/>
  <c r="E83" i="6" s="1"/>
  <c r="D87" i="6"/>
  <c r="E87" i="6" s="1"/>
  <c r="D107" i="6"/>
  <c r="E107" i="6" s="1"/>
  <c r="D115" i="6"/>
  <c r="E115" i="6" s="1"/>
  <c r="D18" i="6"/>
  <c r="E18" i="6" s="1"/>
  <c r="E64" i="5"/>
  <c r="E65" i="5" s="1"/>
  <c r="D80" i="6"/>
  <c r="E80" i="6" s="1"/>
  <c r="E91" i="6" s="1"/>
  <c r="D84" i="6"/>
  <c r="E84" i="6" s="1"/>
  <c r="E173" i="5" l="1"/>
  <c r="D173" i="5" s="1"/>
  <c r="E66" i="5"/>
  <c r="E67" i="5" s="1"/>
  <c r="E131" i="5"/>
  <c r="E132" i="5" s="1"/>
  <c r="E138" i="5"/>
  <c r="E139" i="5" s="1"/>
  <c r="E117" i="6"/>
  <c r="E12" i="6" s="1"/>
  <c r="D12" i="6"/>
  <c r="E21" i="5"/>
  <c r="E20" i="5"/>
  <c r="E22" i="6"/>
  <c r="E95" i="5"/>
  <c r="E96" i="5" s="1"/>
  <c r="E97" i="5" s="1"/>
  <c r="E13" i="5"/>
  <c r="E14" i="5" s="1"/>
  <c r="E15" i="5" s="1"/>
  <c r="E46" i="5"/>
  <c r="E47" i="5" s="1"/>
  <c r="E39" i="5"/>
  <c r="E40" i="5" s="1"/>
  <c r="E93" i="6"/>
  <c r="E92" i="6"/>
  <c r="E11" i="6" s="1"/>
  <c r="D11" i="6"/>
  <c r="E43" i="6"/>
  <c r="E66" i="6"/>
  <c r="E118" i="6" l="1"/>
  <c r="E97" i="6"/>
  <c r="E94" i="6"/>
  <c r="E45" i="6"/>
  <c r="D9" i="6"/>
  <c r="E44" i="6"/>
  <c r="E9" i="6" s="1"/>
  <c r="E100" i="5"/>
  <c r="E101" i="5" s="1"/>
  <c r="E107" i="5"/>
  <c r="E108" i="5" s="1"/>
  <c r="D8" i="6"/>
  <c r="E23" i="6"/>
  <c r="E8" i="6" s="1"/>
  <c r="E77" i="5"/>
  <c r="E78" i="5" s="1"/>
  <c r="E70" i="5"/>
  <c r="E71" i="5" s="1"/>
  <c r="D24" i="5"/>
  <c r="E22" i="5"/>
  <c r="E67" i="6"/>
  <c r="E10" i="6" s="1"/>
  <c r="D10" i="6"/>
  <c r="E24" i="6" l="1"/>
  <c r="E95" i="6"/>
  <c r="E96" i="6" s="1"/>
  <c r="E49" i="6"/>
  <c r="E50" i="6" s="1"/>
  <c r="E52" i="6" s="1"/>
  <c r="E46" i="6"/>
  <c r="E98" i="6"/>
  <c r="E100" i="6" s="1"/>
  <c r="E68" i="6"/>
  <c r="E122" i="6"/>
  <c r="E119" i="6"/>
  <c r="E120" i="6" s="1"/>
  <c r="E121" i="6" s="1"/>
  <c r="E47" i="6" l="1"/>
  <c r="E48" i="6" s="1"/>
  <c r="E123" i="6"/>
  <c r="E125" i="6" s="1"/>
  <c r="E72" i="6"/>
  <c r="E69" i="6"/>
  <c r="E70" i="6" s="1"/>
  <c r="E71" i="6" s="1"/>
  <c r="E28" i="6"/>
  <c r="E29" i="6" s="1"/>
  <c r="E25" i="6"/>
  <c r="E27" i="6" l="1"/>
  <c r="E26" i="6"/>
  <c r="E31" i="6"/>
  <c r="E73" i="6"/>
  <c r="E75" i="6" s="1"/>
  <c r="E19" i="7"/>
  <c r="E18" i="7"/>
  <c r="F31" i="7"/>
  <c r="F26" i="7"/>
  <c r="E26" i="7"/>
  <c r="F28" i="7"/>
  <c r="E28" i="7"/>
  <c r="F27" i="7"/>
  <c r="E27" i="7"/>
  <c r="F30" i="7"/>
  <c r="E30" i="7"/>
  <c r="D21" i="7"/>
  <c r="E20" i="7"/>
  <c r="F29" i="7"/>
  <c r="E21" i="7"/>
  <c r="E31" i="7"/>
  <c r="E29" i="7"/>
</calcChain>
</file>

<file path=xl/sharedStrings.xml><?xml version="1.0" encoding="utf-8"?>
<sst xmlns="http://schemas.openxmlformats.org/spreadsheetml/2006/main" count="1153" uniqueCount="472">
  <si>
    <t>ServiceCode</t>
  </si>
  <si>
    <t>CheckpointId</t>
  </si>
  <si>
    <t>Order</t>
  </si>
  <si>
    <t>Title</t>
  </si>
  <si>
    <t>Type</t>
  </si>
  <si>
    <t>ReferenceId</t>
  </si>
  <si>
    <t>Description</t>
  </si>
  <si>
    <t>BPL-000</t>
  </si>
  <si>
    <t>Onboarding</t>
  </si>
  <si>
    <t>introducao</t>
  </si>
  <si>
    <t>Introdução</t>
  </si>
  <si>
    <t>content</t>
  </si>
  <si>
    <t>welcome_video_01</t>
  </si>
  <si>
    <t>Conheça o BPlen HUB</t>
  </si>
  <si>
    <t>check_in_survey</t>
  </si>
  <si>
    <t>Check-in</t>
  </si>
  <si>
    <t>survey</t>
  </si>
  <si>
    <t>check_in</t>
  </si>
  <si>
    <t>Pre-mapa do estado atual</t>
  </si>
  <si>
    <t>sessao_onboarding</t>
  </si>
  <si>
    <t>Sessão de Onboarding</t>
  </si>
  <si>
    <t>meeting</t>
  </si>
  <si>
    <t>onboarding</t>
  </si>
  <si>
    <t>Boas-vindas e alinhamento de expectativas</t>
  </si>
  <si>
    <t>BPL-001</t>
  </si>
  <si>
    <t>Posicionamento de Carreira</t>
  </si>
  <si>
    <t>realizar_desmistificando_candidaturas</t>
  </si>
  <si>
    <t>Oportunidades e Mercado Oculto</t>
  </si>
  <si>
    <t>desmistificando_candidaturas</t>
  </si>
  <si>
    <t>A realidade do mercado de trabalho</t>
  </si>
  <si>
    <t>realizar_pdi_fase1</t>
  </si>
  <si>
    <t>2.1</t>
  </si>
  <si>
    <t>Elaboração de PDI</t>
  </si>
  <si>
    <t>survey_pdi_fase1</t>
  </si>
  <si>
    <t>Definição de objetivos de carreira profissional</t>
  </si>
  <si>
    <t>realizar_pdi_fase2</t>
  </si>
  <si>
    <t>2.2</t>
  </si>
  <si>
    <t>survey_pdi_fase2</t>
  </si>
  <si>
    <t>Analise de Potencial e Riscos</t>
  </si>
  <si>
    <t>realizar_pdi_fase3</t>
  </si>
  <si>
    <t>2.3</t>
  </si>
  <si>
    <t>survey_pdi_fase3</t>
  </si>
  <si>
    <t>Definição de metas e ciclos</t>
  </si>
  <si>
    <t>realizar_pdi_fase4</t>
  </si>
  <si>
    <t>2.4</t>
  </si>
  <si>
    <t>survey_pdi_fase4</t>
  </si>
  <si>
    <t>Consolidação do PDI</t>
  </si>
  <si>
    <t>realizar_master_cv</t>
  </si>
  <si>
    <t>3.1</t>
  </si>
  <si>
    <t>CV e Perfil Profissional</t>
  </si>
  <si>
    <t>master_cv</t>
  </si>
  <si>
    <t>Central de do histórico profissional</t>
  </si>
  <si>
    <t>realizar_cv_focado</t>
  </si>
  <si>
    <t>3.2</t>
  </si>
  <si>
    <t>cv_focado</t>
  </si>
  <si>
    <t>Adaptação do CV com foco no objetivo pretendido</t>
  </si>
  <si>
    <t>realizar_perfil_profissional_publico</t>
  </si>
  <si>
    <t>3.3</t>
  </si>
  <si>
    <t>perfil_profissional_publico</t>
  </si>
  <si>
    <t>Aplicação do CV nos perfis profissionais online</t>
  </si>
  <si>
    <t>realizar_preparacao_entrevistas_networking</t>
  </si>
  <si>
    <t>Entrevistas e Networking</t>
  </si>
  <si>
    <t>preparacao_entrevistas_networking</t>
  </si>
  <si>
    <t>Preparação de apresentação e pitch em entrevistas e reuniões de networking</t>
  </si>
  <si>
    <t>realizar_pre_analise_comportamental</t>
  </si>
  <si>
    <t>5.1</t>
  </si>
  <si>
    <t>Consultoria de Feedback</t>
  </si>
  <si>
    <t>pre_analise_comportamental</t>
  </si>
  <si>
    <t>Análise Comportamental Básica</t>
  </si>
  <si>
    <t>agendar-feedback-posicionamento-profissional</t>
  </si>
  <si>
    <t>5.2</t>
  </si>
  <si>
    <t>feedback-posicionamento-profissional</t>
  </si>
  <si>
    <t>Sessão de feedback do Posicionamento Profissional</t>
  </si>
  <si>
    <t>BPL-002</t>
  </si>
  <si>
    <t>Análise Comportamental</t>
  </si>
  <si>
    <t>realizar-disc</t>
  </si>
  <si>
    <t>DISC</t>
  </si>
  <si>
    <t>disc</t>
  </si>
  <si>
    <t>Avaliação de Perfil Comportamental</t>
  </si>
  <si>
    <t>realizar_preferencias_reconhecimento</t>
  </si>
  <si>
    <t>Preferências de Reconhecimento</t>
  </si>
  <si>
    <t>preferencias_reconhecimento</t>
  </si>
  <si>
    <t>Mapa de preferências de reconhecimento interpessoal</t>
  </si>
  <si>
    <t>realizar_preferencias_aprendizado</t>
  </si>
  <si>
    <t>Preferências de Aprendizado</t>
  </si>
  <si>
    <t>preferencias_aprendizado</t>
  </si>
  <si>
    <t>Mapa de preferências de formas e habitos de aprendizado</t>
  </si>
  <si>
    <t>realizar_gestao_tempo</t>
  </si>
  <si>
    <t>Mapa de Gestão de Tempo</t>
  </si>
  <si>
    <t>gestao_tempo</t>
  </si>
  <si>
    <t>Mapa de habitos de priorização de tarefas e tempo</t>
  </si>
  <si>
    <t>agendar-devolutiva</t>
  </si>
  <si>
    <t>Devolutiva de Análise</t>
  </si>
  <si>
    <t>devolutiva-analise-comportamental</t>
  </si>
  <si>
    <t>Sessão individual de Devolutiva Comportamental</t>
  </si>
  <si>
    <t>BPL-003</t>
  </si>
  <si>
    <t>Plano de Carreira</t>
  </si>
  <si>
    <t>realizar_survey_plano_acordos</t>
  </si>
  <si>
    <t>Avisos e Acordos</t>
  </si>
  <si>
    <t>survey_plano_acordos</t>
  </si>
  <si>
    <t>Avisos e cordos do processo</t>
  </si>
  <si>
    <t>realizar_survey_plano_fase1</t>
  </si>
  <si>
    <t>Definição de Objetivos</t>
  </si>
  <si>
    <t>survey_plano_fase1</t>
  </si>
  <si>
    <t>realizar_survey_plano_fase2</t>
  </si>
  <si>
    <t>Seleção de Recursos</t>
  </si>
  <si>
    <t>survey_plano_fase2</t>
  </si>
  <si>
    <t>Seleção de recursos para utilização durante a jornada</t>
  </si>
  <si>
    <t>realizar_survey_plano_fase3</t>
  </si>
  <si>
    <t>Plano de Ação</t>
  </si>
  <si>
    <t>survey_plano_fase3</t>
  </si>
  <si>
    <t>Plano de ação para manter foco e ritmo</t>
  </si>
  <si>
    <t>realizar_survey_plano_fase4</t>
  </si>
  <si>
    <t>Consolidação do Plano</t>
  </si>
  <si>
    <t>survey_plano_fase4</t>
  </si>
  <si>
    <t>Consolidação do plano para ativação assertiva</t>
  </si>
  <si>
    <t>agendar-devolutiva-plano</t>
  </si>
  <si>
    <t>6.1</t>
  </si>
  <si>
    <t>Devolutiva do Plano</t>
  </si>
  <si>
    <t>survey_agendamento_devolutiva</t>
  </si>
  <si>
    <t>Organização de materiais para sessão de devolutiva do plano</t>
  </si>
  <si>
    <t>6.2</t>
  </si>
  <si>
    <t>devolutiva-plano-carreira</t>
  </si>
  <si>
    <t>Sessão individual de devolutiva do plano</t>
  </si>
  <si>
    <t>BPL-004</t>
  </si>
  <si>
    <t>Gestão e Desenvolvimento de Carreira</t>
  </si>
  <si>
    <t>agendar-sessao</t>
  </si>
  <si>
    <t>Autoconhecimento e Aprendizagem</t>
  </si>
  <si>
    <t>orientacao-em-grupo</t>
  </si>
  <si>
    <t>Gestão Comportamental e Emocional</t>
  </si>
  <si>
    <t>Técnicas de Posicionamento</t>
  </si>
  <si>
    <t>Gestão de Tempo e Tarefas</t>
  </si>
  <si>
    <t>Comunicação e Relacionamento Interpessoal</t>
  </si>
  <si>
    <t>Técnicas de Negociação</t>
  </si>
  <si>
    <t>Networking e Geração de Valor</t>
  </si>
  <si>
    <t>Finanças para Carreira Profissional</t>
  </si>
  <si>
    <t>Liderança e Autoliderança</t>
  </si>
  <si>
    <t>Práticas de Melhoria Contínua</t>
  </si>
  <si>
    <t>BPL-005</t>
  </si>
  <si>
    <t>MentoCoach</t>
  </si>
  <si>
    <t>1.1</t>
  </si>
  <si>
    <t>Avaliação de Perfil Comportamental (DISC)</t>
  </si>
  <si>
    <t>1.2</t>
  </si>
  <si>
    <t>1.3</t>
  </si>
  <si>
    <t>1.4</t>
  </si>
  <si>
    <t>1.5</t>
  </si>
  <si>
    <t>agendar-sessao-mentocoach</t>
  </si>
  <si>
    <t>1ª Sessão de MentoCoach</t>
  </si>
  <si>
    <t>sessao-mentocoach</t>
  </si>
  <si>
    <t>2ª Sessão de MentoCoach</t>
  </si>
  <si>
    <t>3ª Sessão de MentoCoach</t>
  </si>
  <si>
    <t>4ª Sessão de MentoCoach</t>
  </si>
  <si>
    <t>5ª Sessão de MentoCoach</t>
  </si>
  <si>
    <t>6ª Sessão de MentoCoach</t>
  </si>
  <si>
    <t>7ª Sessão de MentoCoach</t>
  </si>
  <si>
    <t>8ª Sessão de MentoCoach</t>
  </si>
  <si>
    <t>9ª Sessão de MentoCoach</t>
  </si>
  <si>
    <t>10ª Sessão de MentoCoach</t>
  </si>
  <si>
    <t>BPL-006</t>
  </si>
  <si>
    <t>Offboarding</t>
  </si>
  <si>
    <t>offboarding-survey</t>
  </si>
  <si>
    <t>Avaliação Final</t>
  </si>
  <si>
    <t>offboarding_survey</t>
  </si>
  <si>
    <t>Avalição de encerramento e consolidação de resultados.</t>
  </si>
  <si>
    <t>Sessão de Offboarding</t>
  </si>
  <si>
    <t>offboarding</t>
  </si>
  <si>
    <t>Encerramento e alinhamento de próximos passos</t>
  </si>
  <si>
    <t>Item</t>
  </si>
  <si>
    <t>Custo Total</t>
  </si>
  <si>
    <t>Custo Franquia (Por cliente)</t>
  </si>
  <si>
    <t>Franquia</t>
  </si>
  <si>
    <t>Custos médios administrativos da empresa (Anual)</t>
  </si>
  <si>
    <t>Taxa média de checkout Cartão (Crédito e Débito) - sob valor do serviço</t>
  </si>
  <si>
    <t>não se aplica</t>
  </si>
  <si>
    <t>Taxa média de checkout Pix - sob valor do serviço</t>
  </si>
  <si>
    <t>Impostos sobre valor total de serviço - após inclusão de taxas de checkout</t>
  </si>
  <si>
    <t>Histórico: Mar26 a Jun26</t>
  </si>
  <si>
    <t>Item / Serviço</t>
  </si>
  <si>
    <t>Custo Total Período</t>
  </si>
  <si>
    <t>Base de Cálculo / Detalhamento</t>
  </si>
  <si>
    <t>Honorário Dev (Histórico)</t>
  </si>
  <si>
    <t>R$ Hora: 350,00 | Horas dedicadas (Mar-26 a Jun-26): 528h</t>
  </si>
  <si>
    <t>Google Workspace (Setup)</t>
  </si>
  <si>
    <t>Proporcional a 4 meses de uso de homologação</t>
  </si>
  <si>
    <t>Google Cloud (Setup/Testes)</t>
  </si>
  <si>
    <t>Consumido 100% dentro do bônus promocional de R$ 1.700,00</t>
  </si>
  <si>
    <t>TOTAL INVESTIDO</t>
  </si>
  <si>
    <t>Investimento total para colocar a plataforma em produção</t>
  </si>
  <si>
    <t>Projeção: Próx 12 meses</t>
  </si>
  <si>
    <t>Custo Mensal (Proj.)</t>
  </si>
  <si>
    <t>Custo Anual (Proj.)</t>
  </si>
  <si>
    <t>Detalhamento / Objetivo</t>
  </si>
  <si>
    <t>Google Workspace</t>
  </si>
  <si>
    <t>E-mails, Drive e agenda corporativos</t>
  </si>
  <si>
    <t>Vercel Pro</t>
  </si>
  <si>
    <t>Servidor do site com suporte a IA</t>
  </si>
  <si>
    <t>Notion Business</t>
  </si>
  <si>
    <t>Banco de dados de tarefas e rotinas</t>
  </si>
  <si>
    <t>Resend Pro (E-mails)</t>
  </si>
  <si>
    <t>Disparo de e-mails automáticos (Novo)</t>
  </si>
  <si>
    <t>Google Cloud (GCP/IA)</t>
  </si>
  <si>
    <t>Banco Firestore + Tokens de IA (Gemini)</t>
  </si>
  <si>
    <t>Domínio (.com.br)</t>
  </si>
  <si>
    <t>Registro anual no Registro.br (Novo)</t>
  </si>
  <si>
    <t>Cloudflare</t>
  </si>
  <si>
    <t>Segurança e proteção DDoS (Grátis)</t>
  </si>
  <si>
    <t>Mercado Pago Gateway</t>
  </si>
  <si>
    <t>Taxa variável de 3.99% a 4.99% por venda</t>
  </si>
  <si>
    <t>Dev On-Demand</t>
  </si>
  <si>
    <t>TOTAL PROJETADO</t>
  </si>
  <si>
    <t>INVESTIDO + PROJETADO</t>
  </si>
  <si>
    <t>Metodologia Coach IBC (Investimento)</t>
  </si>
  <si>
    <t>Minutos Totais</t>
  </si>
  <si>
    <t>Custo</t>
  </si>
  <si>
    <t>Custo por Minuto</t>
  </si>
  <si>
    <t>Descrição</t>
  </si>
  <si>
    <t>Honorário</t>
  </si>
  <si>
    <t>Tempo dedicado dos consultores</t>
  </si>
  <si>
    <t>Acessos Totais</t>
  </si>
  <si>
    <t>Custo por Acesso</t>
  </si>
  <si>
    <t>Área Membro</t>
  </si>
  <si>
    <t>Acesso ao dashboard de assessments + agenda bplen + acompanhamento de jornada</t>
  </si>
  <si>
    <t>Área Membro | GDC Dashboard</t>
  </si>
  <si>
    <t>Acesso ao modulo de gestão e desenvolvimento de carreira com recursos de acompanhamento detalhado de métricas e documentação de progresso + gestão de onbjetivos e metas + backlog list</t>
  </si>
  <si>
    <t>Sistema Total</t>
  </si>
  <si>
    <t>Custo por Sistema</t>
  </si>
  <si>
    <t>BPlen HUB</t>
  </si>
  <si>
    <t>Ecossistema BPlen HUB | Area logada que oferece diversos recursos para consumo dos serviços Bplen e tornar a experiencia do cliente mais fluida e confiável aliado a tecnologia.</t>
  </si>
  <si>
    <t>Ferramentas e Métodologia de Coching e Mentoria | Acesso ao modulo de assessments, exercícios e tarefas especificos para coaching e mentoria</t>
  </si>
  <si>
    <t>Relatórios Totais</t>
  </si>
  <si>
    <t>Custo por Relatório</t>
  </si>
  <si>
    <t>Relatório DISC</t>
  </si>
  <si>
    <t>Relatório com resultados da avaliação DISC</t>
  </si>
  <si>
    <t>Relatório de Análise Comportamental</t>
  </si>
  <si>
    <t>Relatório da análise e insights do analista referente aos assessments comportamentais cruzados com contexto situacionais do cliente.</t>
  </si>
  <si>
    <t>Relatório PDI</t>
  </si>
  <si>
    <t>Relatório da análise e insights do analista referente ao plano de carreira cruzado com assessments comportamentais e contexto situacionais do cliente.</t>
  </si>
  <si>
    <t>Kits Totais</t>
  </si>
  <si>
    <t>Custo por Kit</t>
  </si>
  <si>
    <t>KIT BPlen</t>
  </si>
  <si>
    <t>Itens personalizados da Bplen (Caderno, Caneta e outros necessários para complemento prático de atividades e tarefas dos clientes)</t>
  </si>
  <si>
    <t>Taxa</t>
  </si>
  <si>
    <t>-</t>
  </si>
  <si>
    <t>Taxa Checkout</t>
  </si>
  <si>
    <t>Taxa de pagamento com cartão de debito ou crédito</t>
  </si>
  <si>
    <t>Taxa Imposto</t>
  </si>
  <si>
    <t>Taxa de impostos sob custo bruto do serviço</t>
  </si>
  <si>
    <t>e-book Totais</t>
  </si>
  <si>
    <t>Custo por e-book</t>
  </si>
  <si>
    <t>GDC e-book</t>
  </si>
  <si>
    <t>Material pedagógico para condução de orientação educacional sobre Gestão e Desenvolvimento de Carreira.</t>
  </si>
  <si>
    <t>Posicionamento de Carreira e-book</t>
  </si>
  <si>
    <t>Material pedagógico para condução de orientação educacional sobre Posicionamento de Carreira.</t>
  </si>
  <si>
    <t>franquia Totais</t>
  </si>
  <si>
    <t>GDC e-book - franquia</t>
  </si>
  <si>
    <t>Disponibilização do item ou serviço dividindo seu custo total por "franquias" (número de clientes)</t>
  </si>
  <si>
    <t>Honorário - Franquia</t>
  </si>
  <si>
    <t>Posicionamento de Carreira e-book - franquia</t>
  </si>
  <si>
    <t>BPlen HUB - franquia</t>
  </si>
  <si>
    <t>Área Membro | MentoCoach Dashboard - franquia</t>
  </si>
  <si>
    <t>Custos Administrativos - franquia</t>
  </si>
  <si>
    <t>Margem:</t>
  </si>
  <si>
    <t>1 to 1</t>
  </si>
  <si>
    <t>Unidade</t>
  </si>
  <si>
    <t>Obs</t>
  </si>
  <si>
    <t>Subtotal bruto</t>
  </si>
  <si>
    <t>Margem</t>
  </si>
  <si>
    <t>Sub + Margem</t>
  </si>
  <si>
    <t>Cenário checkout cartão (a)</t>
  </si>
  <si>
    <t>Total Líquido (a)</t>
  </si>
  <si>
    <t>Desconto Máximo (a)</t>
  </si>
  <si>
    <t>Parcelamento Máximo</t>
  </si>
  <si>
    <t>Cenário checkout PIX (b)</t>
  </si>
  <si>
    <t>Total Líquido (b)</t>
  </si>
  <si>
    <t>Desconto Máximo (b)</t>
  </si>
  <si>
    <t>Desconto Membro Bplen</t>
  </si>
  <si>
    <t>Publicidade na Página de serviços?</t>
  </si>
  <si>
    <t>Não</t>
  </si>
  <si>
    <t>1 to 1 (30min), Devolutiva (60min)</t>
  </si>
  <si>
    <t>Sim</t>
  </si>
  <si>
    <t>Análise Comportamental (60min), Devolutiva Comportamental (60min)</t>
  </si>
  <si>
    <t>Onboarding (60min), Offboarding (60min)</t>
  </si>
  <si>
    <t>Análise de Plano de Carreira (60min), Devolutiva  de Plano de Carreira (60min), Avaliação de Elegibilidade para Plano de Carreira (60min)</t>
  </si>
  <si>
    <t>Desconto condicionado a conclusão da etapa Análise Comportamental</t>
  </si>
  <si>
    <t>Obs:</t>
  </si>
  <si>
    <t>O serviço apenas poderá ser obtido por clientes que já concluíram a etapa de análise comportamental da Bplen ou aprovados no processo de Avaliação de Elegibilidade</t>
  </si>
  <si>
    <t>Análise (60min), Devolutiva (60min), GDC Orientação (600min), 1 to 1 (600min), Avaliação de Elegibilidade para Plano de Carreira (60min)</t>
  </si>
  <si>
    <t>Desconto condicionado a conclusão da etapa Plano de Carreira</t>
  </si>
  <si>
    <t>O serviço apenas poderá ser obtido por clientes que já concluíram a etapa de plano de carreira da BPlen ou aprovados no processo de Avaliação de Elegibilidade</t>
  </si>
  <si>
    <t>Coaching e Mentoria</t>
  </si>
  <si>
    <t>Área Membro | MentoCoach Dashboard</t>
  </si>
  <si>
    <t>Onboarding (60min), Análise (60min), Devolutiva (60min), Sessões (780), Offboarding (60min)</t>
  </si>
  <si>
    <t>Desconto Membro Bplen (a)</t>
  </si>
  <si>
    <t>Desconto Membro Bplen (b)</t>
  </si>
  <si>
    <t>Precificação de Pacotes Estruturados (Deduplicação de Custos &amp; Impostos Simplificados)</t>
  </si>
  <si>
    <t>1. Resumo Comercial dos Pacotes de Serviço</t>
  </si>
  <si>
    <t>Pacote</t>
  </si>
  <si>
    <t>Composição de Serviços</t>
  </si>
  <si>
    <t>Subtotal Bruto</t>
  </si>
  <si>
    <t>Margem (20%)</t>
  </si>
  <si>
    <t>Preço Cartão</t>
  </si>
  <si>
    <t>Preço PIX (Sugerido)</t>
  </si>
  <si>
    <t>Soma Individual (Cartão)</t>
  </si>
  <si>
    <t>Soma Individual (PIX)</t>
  </si>
  <si>
    <t>Economia p/ Cliente (PIX)</t>
  </si>
  <si>
    <t>Junior</t>
  </si>
  <si>
    <t>Pleno</t>
  </si>
  <si>
    <t>Junior + Análise Comportamental</t>
  </si>
  <si>
    <t>Senior</t>
  </si>
  <si>
    <t>Pleno + Plano de Carreira</t>
  </si>
  <si>
    <t>Lider</t>
  </si>
  <si>
    <t>Senior + Gestão e Desenvolvimento (GDC)</t>
  </si>
  <si>
    <t>Embaixador BPlen</t>
  </si>
  <si>
    <t>2. Detalhamento de Custos e Lógica de Formação de Preço por Pacote</t>
  </si>
  <si>
    <t>Pacote JUNIOR</t>
  </si>
  <si>
    <t>Item de Custo</t>
  </si>
  <si>
    <t>Custo Unitário</t>
  </si>
  <si>
    <t>Custo Consolidado</t>
  </si>
  <si>
    <t>Racional / Origem</t>
  </si>
  <si>
    <t>Custo administrativo diluído por cliente</t>
  </si>
  <si>
    <t>Custo de desenvolvimento do portal diluído</t>
  </si>
  <si>
    <t>Honorário (Sessões)</t>
  </si>
  <si>
    <t>Posicionamento de Carreira: 1 to 1 (30min), Devolutiva (60min)</t>
  </si>
  <si>
    <t>Subtotal Bruto (Custo Base)</t>
  </si>
  <si>
    <t>Margem de Lucro BPlen (20%)</t>
  </si>
  <si>
    <t>Subtotal + Margem</t>
  </si>
  <si>
    <t>Taxa Checkout Cartão (5% - Margem MP)</t>
  </si>
  <si>
    <t>Impostos sobre Venda (8%)</t>
  </si>
  <si>
    <t>Total Consolidado (Cartão)</t>
  </si>
  <si>
    <t>Taxa Checkout PIX (1% - MP)</t>
  </si>
  <si>
    <t>Impostos sobre Venda PIX (8%)</t>
  </si>
  <si>
    <t>Total Consolidado (PIX)</t>
  </si>
  <si>
    <t>Pacote PLENO</t>
  </si>
  <si>
    <t>Cobrado apenas uma vez por cliente (DEDUPLICADO)</t>
  </si>
  <si>
    <t>Acesso unificado à Área do Membro</t>
  </si>
  <si>
    <t>PC: 90min + AC: 120min (Total: 210 minutos)</t>
  </si>
  <si>
    <t>Honorário - Franquia (Onboarding/Offboarding)</t>
  </si>
  <si>
    <t>1x Onboarding (35.00) + 1x Offboarding (35.00)</t>
  </si>
  <si>
    <t>Taxa Checkout Cartão (5%)</t>
  </si>
  <si>
    <t>Taxa Checkout PIX (1%)</t>
  </si>
  <si>
    <t>Pacote SENIOR</t>
  </si>
  <si>
    <t>Acesso unificado à Área do Membro (DEDUPLICADO)</t>
  </si>
  <si>
    <t>Relatório do Plano de Desenvolvimento Individual (PDI)</t>
  </si>
  <si>
    <t>PC: 90min + AC: 120min + Plano: 180min (Total: 390 minutos)</t>
  </si>
  <si>
    <t>Pacote LIDER</t>
  </si>
  <si>
    <t>Acesso unificado à Área do Membro GDC</t>
  </si>
  <si>
    <t>Franquia do material didático pedagógico GDC</t>
  </si>
  <si>
    <t>Sessions (PC, AC, Plano, GDC) (Total: 1770 minutos / 29.5 horas)</t>
  </si>
  <si>
    <t>Pacote EMBAIXADOR BPLEN</t>
  </si>
  <si>
    <t>Acesso unificado à Área MentoCoach</t>
  </si>
  <si>
    <t>DEDUPLICADO com Coaching e Mentoria (cobrado apenas 1x)</t>
  </si>
  <si>
    <t>Sessions (PC, AC, Plano, GDC, Coaching) (Total: 2790 min / 46.5 horas)</t>
  </si>
  <si>
    <t>Plano Estratégico de Metas Comerciais &amp; Amortização de Custos (24 Meses)</t>
  </si>
  <si>
    <t>1. Resumo das Franquias de Custos Fixos (Investimentos a Amortizar)</t>
  </si>
  <si>
    <t>Franquia / Custo</t>
  </si>
  <si>
    <t>Descrição do Custo Relacionado</t>
  </si>
  <si>
    <t>Custo Total Investido</t>
  </si>
  <si>
    <t>Meta de Clientes para Diluição</t>
  </si>
  <si>
    <t>Valor Diluído Aplicado por Cliente</t>
  </si>
  <si>
    <t>BPlen HUB (CapEx Portal)</t>
  </si>
  <si>
    <t>Desenvolvimento do ecossistema e área logada do portal BPlen HUB</t>
  </si>
  <si>
    <t>MentoCoach (Metodologia)</t>
  </si>
  <si>
    <t>Metodologia, licença e assessments Coaching IBC</t>
  </si>
  <si>
    <t>GDC e-book (Pedagógico)</t>
  </si>
  <si>
    <t>Material didático pedagógico de Gestão e Desenvolvimento de Carreira</t>
  </si>
  <si>
    <t>Material didático pedagógico de Posicionamento de Carreira</t>
  </si>
  <si>
    <t>Custos Administrativos</t>
  </si>
  <si>
    <t>Despesas operacionais e administrativas gerais (Anual)</t>
  </si>
  <si>
    <t>TOTAL DE INVESTIMENTOS EM FRANQUIAS</t>
  </si>
  <si>
    <t>2. Cronograma Sugerido de Metas e Amortização em Fases</t>
  </si>
  <si>
    <t>Fase Estratégica</t>
  </si>
  <si>
    <t>Período (Meses)</t>
  </si>
  <si>
    <t>Meta Acumulada de Clientes</t>
  </si>
  <si>
    <t>Ritmo de Vendas (Clientes/Mês)</t>
  </si>
  <si>
    <t>Custos Fixos Amortizados no Período</t>
  </si>
  <si>
    <t>Foco Comercial / Pacotes Sugeridos</t>
  </si>
  <si>
    <t>Fase 1: Curto Prazo (Startup)</t>
  </si>
  <si>
    <t>1 a 3</t>
  </si>
  <si>
    <t>Amortização de MentoCoach (20) &amp; GDC e-book (25)</t>
  </si>
  <si>
    <t>Foco em Pacotes Pleno e Senior (Validação comercial)</t>
  </si>
  <si>
    <t>Fase 2: Médio Prazo (Breakeven)</t>
  </si>
  <si>
    <t>4 a 12</t>
  </si>
  <si>
    <t>Amortização do Custo Administrativo Anual (R$ 24k / 300)</t>
  </si>
  <si>
    <t>Foco em Pacotes Senior, Lider e Introdução de Recorrência</t>
  </si>
  <si>
    <t>Fase 3: Longo Prazo (Expansão)</t>
  </si>
  <si>
    <t>13 a 24</t>
  </si>
  <si>
    <t>Amortização do Desenvolvimento BPlen HUB (R$ 29k / 1000)</t>
  </si>
  <si>
    <t>Foco em Lider, Embaixador BPlen e Franquias para Parceiros</t>
  </si>
  <si>
    <t>TOTAL GERAL DO PLANO (2 ANOS)</t>
  </si>
  <si>
    <t>24 Meses</t>
  </si>
  <si>
    <t>100% de Amortização Concluída!</t>
  </si>
  <si>
    <t>3. Simulador de Viabilidade e Projeção de Faturamento Bruto (Meta 1000 Clientes)</t>
  </si>
  <si>
    <t>Pacote de Serviço</t>
  </si>
  <si>
    <t>Preço Sugerido (Venda PIX)</t>
  </si>
  <si>
    <t>Mix de Vendas Estimado (%)</t>
  </si>
  <si>
    <t>Volume de Vendas (Fase 1-3)</t>
  </si>
  <si>
    <t>Projeção de Faturamento Bruto</t>
  </si>
  <si>
    <t>TOTAL PROJETADO / TARGET GERAL</t>
  </si>
  <si>
    <t>ServiceName</t>
  </si>
  <si>
    <t>serviceCode</t>
  </si>
  <si>
    <t>serviceName</t>
  </si>
  <si>
    <t>escopo</t>
  </si>
  <si>
    <t>concedeSelo</t>
  </si>
  <si>
    <t>preReqModo</t>
  </si>
  <si>
    <t>preReqEtapas</t>
  </si>
  <si>
    <t>libera</t>
  </si>
  <si>
    <t>sku</t>
  </si>
  <si>
    <t>nbs</t>
  </si>
  <si>
    <t>naturezaOperacao</t>
  </si>
  <si>
    <t>descricaoFiscal</t>
  </si>
  <si>
    <t>public</t>
  </si>
  <si>
    <t>FALSE</t>
  </si>
  <si>
    <t>apos_contratadas</t>
  </si>
  <si>
    <t>member</t>
  </si>
  <si>
    <t>nenhum</t>
  </si>
  <si>
    <t>TRUE</t>
  </si>
  <si>
    <t>todos</t>
  </si>
  <si>
    <t>BPL-000,BPL-002</t>
  </si>
  <si>
    <t>Gestão e Desenv. de Carreira</t>
  </si>
  <si>
    <t>BPL-000,BPL-003</t>
  </si>
  <si>
    <t>qualquer</t>
  </si>
  <si>
    <t>BPL-004,BPL-005</t>
  </si>
  <si>
    <t>BPL-PAC-JR</t>
  </si>
  <si>
    <t>Pacote Junior</t>
  </si>
  <si>
    <t>BPL-PAC-PL</t>
  </si>
  <si>
    <t>Pacote Pleno</t>
  </si>
  <si>
    <t>BPL-000,BPL-001,BPL-002</t>
  </si>
  <si>
    <t>BPL-PAC-SR</t>
  </si>
  <si>
    <t>Pacote Senior</t>
  </si>
  <si>
    <t>BPL-000,BPL-001,BPL-002,BPL-003</t>
  </si>
  <si>
    <t>BPL-PAC-LD</t>
  </si>
  <si>
    <t>Pacote Líder</t>
  </si>
  <si>
    <t>BPL-000,BPL-001,BPL-002,BPL-003,BPL-004</t>
  </si>
  <si>
    <t>BPL-PAC-EB</t>
  </si>
  <si>
    <t>Pacote Embaixador</t>
  </si>
  <si>
    <t>BPL-000,BPL-001,BPL-002,BPL-003,BPL-004,BPL-005</t>
  </si>
  <si>
    <t>Onboarding de Parceiro</t>
  </si>
  <si>
    <t>Jornada de Parceiro</t>
  </si>
  <si>
    <t>sessao_onboarding_de_parceiro</t>
  </si>
  <si>
    <t>tour_guided_parceiro</t>
  </si>
  <si>
    <t>partner_check_in</t>
  </si>
  <si>
    <t>partner_dados_cadastrais</t>
  </si>
  <si>
    <t>formalizacao-parceria</t>
  </si>
  <si>
    <t>Formalização</t>
  </si>
  <si>
    <t>contract</t>
  </si>
  <si>
    <t>Validação e assinatura de formalização de parceria</t>
  </si>
  <si>
    <t>Conheça a BPlen HUB para Parceiros</t>
  </si>
  <si>
    <t>Alinhamento de Expectativas</t>
  </si>
  <si>
    <t>Configuração de Dados Cadastrais</t>
  </si>
  <si>
    <t>/hub/profile_settings</t>
  </si>
  <si>
    <t>/hub/partners</t>
  </si>
  <si>
    <t>Configuração do Perfil para a Página de Networking</t>
  </si>
  <si>
    <t>Ativação de oficial da jornada de parceiro e acompanhamento do progresso</t>
  </si>
  <si>
    <t>action</t>
  </si>
  <si>
    <t>Configurar Networking</t>
  </si>
  <si>
    <t>Gestão Contínua de Parceria</t>
  </si>
  <si>
    <t>onboarding_de_parceiro</t>
  </si>
  <si>
    <t>isStepJourney</t>
  </si>
  <si>
    <t>parceiros</t>
  </si>
  <si>
    <t>clientes_b2c</t>
  </si>
  <si>
    <t>Configuração de Networking</t>
  </si>
  <si>
    <t>Ativação de Parceria</t>
  </si>
  <si>
    <t>realizar_partner_check_in</t>
  </si>
  <si>
    <t>realizar_partner_dados_cadastrais</t>
  </si>
  <si>
    <t>assinar_formalizacao-parceria</t>
  </si>
  <si>
    <t>configurar_/hub/profile_settings</t>
  </si>
  <si>
    <t>acompanhar/hub/partners</t>
  </si>
  <si>
    <t>BPP-001</t>
  </si>
  <si>
    <t>BPP-002</t>
  </si>
  <si>
    <t>BPP-003</t>
  </si>
  <si>
    <t>tour</t>
  </si>
  <si>
    <t>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</si>
</sst>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"/>
    <numFmt numFmtId="165" formatCode="&quot;R$ &quot;\ #,##0.00"/>
    <numFmt numFmtId="166" formatCode="0.0"/>
    <numFmt numFmtId="167" formatCode="0.0%"/>
  </numFmts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rgb="FF000000"/>
      <name val="Segoe UI"/>
      <family val="2"/>
    </font>
    <font>
      <b/>
      <sz val="12"/>
      <color rgb="FF1B365D"/>
      <name val="Segoe UI"/>
      <family val="2"/>
    </font>
    <font>
      <b/>
      <sz val="11"/>
      <color rgb="FF1B365D"/>
      <name val="Segoe UI"/>
      <family val="2"/>
    </font>
    <font>
      <b/>
      <sz val="11"/>
      <color rgb="FF000000"/>
      <name val="Segoe UI"/>
      <family val="2"/>
    </font>
    <font>
      <b/>
      <sz val="18"/>
      <color rgb="FF1B365D"/>
      <name val="Segoe UI"/>
      <family val="2"/>
    </font>
    <font>
      <i/>
      <sz val="11"/>
      <color rgb="FF4A5568"/>
      <name val="Segoe UI"/>
      <family val="2"/>
    </font>
    <font>
      <b/>
      <sz val="10"/>
      <color rgb="FFFFFFF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1B365D"/>
      <name val="Segoe UI"/>
      <family val="2"/>
    </font>
    <font>
      <i/>
      <sz val="10"/>
      <color rgb="FF4A5568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D0E1FD"/>
        <bgColor rgb="FFD0E1FD"/>
      </patternFill>
    </fill>
    <fill>
      <patternFill patternType="solid">
        <fgColor rgb="FFE6ECF4"/>
        <bgColor rgb="FFE6ECF4"/>
      </patternFill>
    </fill>
  </fills>
  <borders count="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000000"/>
      </bottom>
      <diagonal/>
    </border>
    <border>
      <left/>
      <right/>
      <top/>
      <bottom style="medium">
        <color rgb="FF1B365D"/>
      </bottom>
      <diagonal/>
    </border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double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1">
    <xf numFmtId="0" fontId="0" fillId="0" borderId="4"/>
  </cellStyleXfs>
  <cellXfs count="107"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0" xfId="0" applyNumberFormat="1" applyBorder="1"/>
    <xf numFmtId="164" fontId="2" fillId="0" borderId="0" xfId="0" applyNumberFormat="1" applyFont="1" applyBorder="1" applyAlignment="1">
      <alignment horizontal="center"/>
    </xf>
    <xf numFmtId="164" fontId="2" fillId="0" borderId="0" xfId="0" applyNumberFormat="1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/>
    <xf numFmtId="0" fontId="2" fillId="0" borderId="0" xfId="0" applyFont="1" applyBorder="1" applyAlignment="1">
      <alignment horizontal="right"/>
    </xf>
    <xf numFmtId="9" fontId="2" fillId="0" borderId="0" xfId="0" applyNumberFormat="1" applyFont="1" applyBorder="1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10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0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2" borderId="0" xfId="0" applyFont="1" applyFill="1" applyBorder="1"/>
    <xf numFmtId="165" fontId="4" fillId="0" borderId="1" xfId="0" applyNumberFormat="1" applyFont="1" applyBorder="1" applyAlignment="1">
      <alignment horizontal="right" vertical="center"/>
    </xf>
    <xf numFmtId="0" fontId="6" fillId="5" borderId="2" xfId="0" applyFont="1" applyFill="1" applyBorder="1"/>
    <xf numFmtId="165" fontId="6" fillId="5" borderId="2" xfId="0" applyNumberFormat="1" applyFont="1" applyFill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165" fontId="0" fillId="0" borderId="0" xfId="0" applyNumberFormat="1" applyBorder="1"/>
    <xf numFmtId="165" fontId="1" fillId="2" borderId="0" xfId="0" applyNumberFormat="1" applyFont="1" applyFill="1" applyBorder="1" applyAlignment="1">
      <alignment horizontal="left"/>
    </xf>
    <xf numFmtId="165" fontId="3" fillId="3" borderId="0" xfId="0" applyNumberFormat="1" applyFont="1" applyFill="1" applyBorder="1" applyAlignment="1">
      <alignment horizontal="center" vertical="center"/>
    </xf>
    <xf numFmtId="165" fontId="6" fillId="5" borderId="2" xfId="0" applyNumberFormat="1" applyFont="1" applyFill="1" applyBorder="1"/>
    <xf numFmtId="165" fontId="7" fillId="5" borderId="2" xfId="0" applyNumberFormat="1" applyFont="1" applyFill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9" fontId="4" fillId="0" borderId="1" xfId="0" applyNumberFormat="1" applyFont="1" applyBorder="1" applyAlignment="1">
      <alignment horizontal="left"/>
    </xf>
    <xf numFmtId="0" fontId="5" fillId="6" borderId="3" xfId="0" applyFont="1" applyFill="1" applyBorder="1"/>
    <xf numFmtId="164" fontId="5" fillId="6" borderId="3" xfId="0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6" fillId="5" borderId="2" xfId="0" applyFont="1" applyFill="1" applyBorder="1" applyAlignment="1">
      <alignment horizontal="right"/>
    </xf>
    <xf numFmtId="0" fontId="6" fillId="5" borderId="2" xfId="0" applyFont="1" applyFill="1" applyBorder="1" applyAlignment="1">
      <alignment horizontal="right" vertical="center"/>
    </xf>
    <xf numFmtId="164" fontId="6" fillId="5" borderId="2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/>
    </xf>
    <xf numFmtId="10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164" fontId="6" fillId="5" borderId="2" xfId="0" applyNumberFormat="1" applyFont="1" applyFill="1" applyBorder="1"/>
    <xf numFmtId="164" fontId="4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165" fontId="6" fillId="5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/>
    <xf numFmtId="0" fontId="7" fillId="0" borderId="1" xfId="0" applyFont="1" applyBorder="1"/>
    <xf numFmtId="165" fontId="7" fillId="0" borderId="1" xfId="0" applyNumberFormat="1" applyFont="1" applyBorder="1"/>
    <xf numFmtId="0" fontId="10" fillId="3" borderId="0" xfId="0" applyFont="1" applyFill="1" applyBorder="1" applyAlignment="1">
      <alignment horizontal="center" vertical="center"/>
    </xf>
    <xf numFmtId="0" fontId="8" fillId="0" borderId="0" xfId="0" applyFont="1" applyBorder="1"/>
    <xf numFmtId="0" fontId="9" fillId="0" borderId="0" xfId="0" applyFont="1" applyBorder="1"/>
    <xf numFmtId="0" fontId="5" fillId="0" borderId="0" xfId="0" applyFont="1" applyBorder="1"/>
    <xf numFmtId="0" fontId="3" fillId="3" borderId="5" xfId="0" applyFont="1" applyFill="1" applyBorder="1" applyAlignment="1">
      <alignment horizontal="center" vertical="center"/>
    </xf>
    <xf numFmtId="0" fontId="4" fillId="0" borderId="5" xfId="0" applyFont="1" applyBorder="1"/>
    <xf numFmtId="0" fontId="6" fillId="5" borderId="6" xfId="0" applyFont="1" applyFill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5" xfId="0" applyFont="1" applyBorder="1" applyAlignment="1">
      <alignment horizontal="left"/>
    </xf>
    <xf numFmtId="0" fontId="0" fillId="0" borderId="4" xfId="0"/>
    <xf numFmtId="0" fontId="2" fillId="0" borderId="4" xfId="0" applyFont="1" applyAlignment="1">
      <alignment horizontal="right"/>
    </xf>
    <xf numFmtId="0" fontId="5" fillId="6" borderId="4" xfId="0" applyFont="1" applyFill="1"/>
    <xf numFmtId="0" fontId="4" fillId="0" borderId="1" xfId="0" applyFont="1" applyBorder="1" applyAlignment="1">
      <alignment horizontal="left" vertical="top" wrapText="1"/>
    </xf>
    <xf numFmtId="0" fontId="11" fillId="0" borderId="0" xfId="0" applyFont="1" applyBorder="1"/>
    <xf numFmtId="0" fontId="12" fillId="0" borderId="0" xfId="0" applyFont="1" applyBorder="1"/>
    <xf numFmtId="0" fontId="13" fillId="0" borderId="0" xfId="0" applyFont="1" applyBorder="1"/>
    <xf numFmtId="0" fontId="14" fillId="0" borderId="1" xfId="0" applyFont="1" applyBorder="1"/>
    <xf numFmtId="0" fontId="15" fillId="0" borderId="1" xfId="0" applyFont="1" applyBorder="1" applyAlignment="1">
      <alignment horizontal="left" vertical="center" wrapText="1"/>
    </xf>
    <xf numFmtId="165" fontId="15" fillId="0" borderId="1" xfId="0" applyNumberFormat="1" applyFont="1" applyBorder="1"/>
    <xf numFmtId="3" fontId="15" fillId="0" borderId="1" xfId="0" applyNumberFormat="1" applyFont="1" applyBorder="1" applyAlignment="1">
      <alignment horizontal="center" vertical="center"/>
    </xf>
    <xf numFmtId="0" fontId="14" fillId="4" borderId="1" xfId="0" applyFont="1" applyFill="1" applyBorder="1"/>
    <xf numFmtId="0" fontId="15" fillId="4" borderId="1" xfId="0" applyFont="1" applyFill="1" applyBorder="1" applyAlignment="1">
      <alignment horizontal="left" vertical="center" wrapText="1"/>
    </xf>
    <xf numFmtId="165" fontId="15" fillId="4" borderId="1" xfId="0" applyNumberFormat="1" applyFont="1" applyFill="1" applyBorder="1"/>
    <xf numFmtId="3" fontId="15" fillId="4" borderId="1" xfId="0" applyNumberFormat="1" applyFont="1" applyFill="1" applyBorder="1" applyAlignment="1">
      <alignment horizontal="center" vertical="center"/>
    </xf>
    <xf numFmtId="0" fontId="12" fillId="5" borderId="2" xfId="0" applyFont="1" applyFill="1" applyBorder="1"/>
    <xf numFmtId="0" fontId="11" fillId="5" borderId="2" xfId="0" applyFont="1" applyFill="1" applyBorder="1"/>
    <xf numFmtId="165" fontId="12" fillId="5" borderId="2" xfId="0" applyNumberFormat="1" applyFont="1" applyFill="1" applyBorder="1"/>
    <xf numFmtId="0" fontId="15" fillId="0" borderId="1" xfId="0" applyFont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66" fontId="15" fillId="4" borderId="1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3" fontId="12" fillId="5" borderId="2" xfId="0" applyNumberFormat="1" applyFont="1" applyFill="1" applyBorder="1" applyAlignment="1">
      <alignment horizontal="center" vertical="center"/>
    </xf>
    <xf numFmtId="166" fontId="12" fillId="5" borderId="2" xfId="0" applyNumberFormat="1" applyFont="1" applyFill="1" applyBorder="1" applyAlignment="1">
      <alignment horizontal="center" vertical="center"/>
    </xf>
    <xf numFmtId="165" fontId="15" fillId="0" borderId="1" xfId="0" applyNumberFormat="1" applyFont="1" applyBorder="1" applyAlignment="1">
      <alignment horizontal="right" vertical="center"/>
    </xf>
    <xf numFmtId="167" fontId="15" fillId="0" borderId="1" xfId="0" applyNumberFormat="1" applyFont="1" applyBorder="1" applyAlignment="1">
      <alignment horizontal="center" vertical="center"/>
    </xf>
    <xf numFmtId="165" fontId="15" fillId="4" borderId="1" xfId="0" applyNumberFormat="1" applyFont="1" applyFill="1" applyBorder="1" applyAlignment="1">
      <alignment horizontal="right" vertical="center"/>
    </xf>
    <xf numFmtId="167" fontId="15" fillId="4" borderId="1" xfId="0" applyNumberFormat="1" applyFont="1" applyFill="1" applyBorder="1" applyAlignment="1">
      <alignment horizontal="center" vertical="center"/>
    </xf>
    <xf numFmtId="167" fontId="12" fillId="5" borderId="2" xfId="0" applyNumberFormat="1" applyFont="1" applyFill="1" applyBorder="1" applyAlignment="1">
      <alignment horizontal="center" vertical="center"/>
    </xf>
    <xf numFmtId="165" fontId="12" fillId="5" borderId="2" xfId="0" applyNumberFormat="1" applyFont="1" applyFill="1" applyBorder="1" applyAlignment="1">
      <alignment horizontal="right" vertical="center"/>
    </xf>
    <xf numFmtId="0" fontId="4" fillId="0" borderId="7" xfId="0" applyFont="1" applyBorder="1"/>
    <xf numFmtId="165" fontId="4" fillId="0" borderId="7" xfId="0" applyNumberFormat="1" applyFont="1" applyBorder="1"/>
    <xf numFmtId="0" fontId="11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top" wrapText="1"/>
    </xf>
    <xf numFmtId="0" fontId="6" fillId="6" borderId="4" xfId="0" applyFont="1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047750" cy="523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047750" cy="523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7"/>
  <sheetViews>
    <sheetView workbookViewId="0">
      <selection activeCell="C14" sqref="C14"/>
    </sheetView>
  </sheetViews>
  <sheetFormatPr defaultRowHeight="15.75" x14ac:dyDescent="0.25"/>
  <cols>
    <col min="1" max="1" width="12" customWidth="1"/>
    <col min="2" max="2" width="78" bestFit="1" customWidth="1"/>
    <col min="3" max="3" width="15" style="2" customWidth="1"/>
    <col min="4" max="4" width="32" customWidth="1"/>
    <col min="5" max="5" width="12" customWidth="1"/>
  </cols>
  <sheetData>
    <row r="1" spans="2:5" ht="20.100000000000001" customHeight="1" x14ac:dyDescent="0.25"/>
    <row r="2" spans="2:5" ht="20.100000000000001" customHeight="1" x14ac:dyDescent="0.25"/>
    <row r="3" spans="2:5" ht="27.95" customHeight="1" x14ac:dyDescent="0.25">
      <c r="B3" s="14" t="s">
        <v>167</v>
      </c>
      <c r="C3" s="14" t="s">
        <v>168</v>
      </c>
      <c r="D3" s="14" t="s">
        <v>169</v>
      </c>
      <c r="E3" s="14" t="s">
        <v>170</v>
      </c>
    </row>
    <row r="4" spans="2:5" ht="20.100000000000001" customHeight="1" x14ac:dyDescent="0.25">
      <c r="B4" s="15" t="s">
        <v>171</v>
      </c>
      <c r="C4" s="16">
        <v>24000</v>
      </c>
      <c r="D4" s="17">
        <f>C4/E4</f>
        <v>80</v>
      </c>
      <c r="E4" s="15">
        <v>300</v>
      </c>
    </row>
    <row r="5" spans="2:5" ht="20.100000000000001" customHeight="1" x14ac:dyDescent="0.25">
      <c r="B5" s="18" t="s">
        <v>172</v>
      </c>
      <c r="C5" s="19">
        <v>0.05</v>
      </c>
      <c r="D5" s="20" t="s">
        <v>173</v>
      </c>
      <c r="E5" s="18"/>
    </row>
    <row r="6" spans="2:5" ht="20.100000000000001" customHeight="1" x14ac:dyDescent="0.25">
      <c r="B6" s="15" t="s">
        <v>174</v>
      </c>
      <c r="C6" s="21">
        <v>9.9000000000000008E-3</v>
      </c>
      <c r="D6" s="22" t="s">
        <v>173</v>
      </c>
      <c r="E6" s="15"/>
    </row>
    <row r="7" spans="2:5" ht="20.100000000000001" customHeight="1" x14ac:dyDescent="0.25">
      <c r="B7" s="18" t="s">
        <v>175</v>
      </c>
      <c r="C7" s="19">
        <v>0.08</v>
      </c>
      <c r="D7" s="20" t="s">
        <v>173</v>
      </c>
      <c r="E7" s="1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7"/>
  <sheetViews>
    <sheetView workbookViewId="0">
      <selection activeCell="E19" sqref="E19"/>
    </sheetView>
  </sheetViews>
  <sheetFormatPr defaultRowHeight="15" x14ac:dyDescent="0.25"/>
  <cols>
    <col min="1" max="1" width="12" style="7" customWidth="1"/>
    <col min="2" max="2" width="31" style="7" bestFit="1" customWidth="1"/>
    <col min="3" max="3" width="24" style="8" bestFit="1" customWidth="1"/>
    <col min="4" max="4" width="61" style="8" customWidth="1"/>
    <col min="5" max="5" width="44" style="7" bestFit="1" customWidth="1"/>
    <col min="6" max="8" width="9" style="7" customWidth="1"/>
    <col min="9" max="16384" width="9" style="7"/>
  </cols>
  <sheetData>
    <row r="1" spans="2:5" ht="20.100000000000001" customHeight="1" x14ac:dyDescent="0.25"/>
    <row r="2" spans="2:5" ht="20.100000000000001" customHeight="1" x14ac:dyDescent="0.3">
      <c r="B2" s="23" t="s">
        <v>176</v>
      </c>
      <c r="C2" s="10"/>
      <c r="D2" s="10"/>
      <c r="E2" s="11"/>
    </row>
    <row r="3" spans="2:5" ht="27.95" customHeight="1" x14ac:dyDescent="0.25">
      <c r="B3" s="14" t="s">
        <v>177</v>
      </c>
      <c r="C3" s="14" t="s">
        <v>178</v>
      </c>
      <c r="D3" s="14" t="s">
        <v>179</v>
      </c>
      <c r="E3" s="14"/>
    </row>
    <row r="4" spans="2:5" ht="20.100000000000001" customHeight="1" x14ac:dyDescent="0.25">
      <c r="B4" s="18" t="s">
        <v>180</v>
      </c>
      <c r="C4" s="24">
        <v>184800</v>
      </c>
      <c r="D4" s="24" t="s">
        <v>181</v>
      </c>
      <c r="E4" s="18"/>
    </row>
    <row r="5" spans="2:5" ht="20.100000000000001" customHeight="1" x14ac:dyDescent="0.25">
      <c r="B5" s="15" t="s">
        <v>182</v>
      </c>
      <c r="C5" s="16">
        <v>567.20000000000005</v>
      </c>
      <c r="D5" s="16" t="s">
        <v>183</v>
      </c>
      <c r="E5" s="15"/>
    </row>
    <row r="6" spans="2:5" ht="20.100000000000001" customHeight="1" x14ac:dyDescent="0.25">
      <c r="B6" s="18" t="s">
        <v>184</v>
      </c>
      <c r="C6" s="24">
        <v>0</v>
      </c>
      <c r="D6" s="24" t="s">
        <v>185</v>
      </c>
      <c r="E6" s="18"/>
    </row>
    <row r="7" spans="2:5" ht="20.100000000000001" customHeight="1" x14ac:dyDescent="0.3">
      <c r="B7" s="25" t="s">
        <v>186</v>
      </c>
      <c r="C7" s="26">
        <v>21567.200000000001</v>
      </c>
      <c r="D7" s="26" t="s">
        <v>187</v>
      </c>
      <c r="E7" s="27"/>
    </row>
    <row r="8" spans="2:5" ht="20.100000000000001" customHeight="1" x14ac:dyDescent="0.25">
      <c r="C8" s="28"/>
      <c r="D8" s="28"/>
    </row>
    <row r="9" spans="2:5" ht="20.100000000000001" customHeight="1" x14ac:dyDescent="0.25">
      <c r="C9" s="28"/>
      <c r="D9" s="28"/>
    </row>
    <row r="10" spans="2:5" ht="20.100000000000001" customHeight="1" x14ac:dyDescent="0.3">
      <c r="B10" s="23" t="s">
        <v>188</v>
      </c>
      <c r="C10" s="29"/>
      <c r="D10" s="29"/>
      <c r="E10" s="11"/>
    </row>
    <row r="11" spans="2:5" ht="27.95" customHeight="1" x14ac:dyDescent="0.25">
      <c r="B11" s="14" t="s">
        <v>177</v>
      </c>
      <c r="C11" s="30" t="s">
        <v>189</v>
      </c>
      <c r="D11" s="30" t="s">
        <v>190</v>
      </c>
      <c r="E11" s="14" t="s">
        <v>191</v>
      </c>
    </row>
    <row r="12" spans="2:5" ht="20.100000000000001" customHeight="1" x14ac:dyDescent="0.25">
      <c r="B12" s="15" t="s">
        <v>192</v>
      </c>
      <c r="C12" s="16">
        <v>141.80000000000001</v>
      </c>
      <c r="D12" s="16">
        <v>1701.6</v>
      </c>
      <c r="E12" s="15" t="s">
        <v>193</v>
      </c>
    </row>
    <row r="13" spans="2:5" ht="20.100000000000001" customHeight="1" x14ac:dyDescent="0.25">
      <c r="B13" s="18" t="s">
        <v>194</v>
      </c>
      <c r="C13" s="24">
        <v>90</v>
      </c>
      <c r="D13" s="24">
        <v>1080</v>
      </c>
      <c r="E13" s="18" t="s">
        <v>195</v>
      </c>
    </row>
    <row r="14" spans="2:5" ht="20.100000000000001" customHeight="1" x14ac:dyDescent="0.25">
      <c r="B14" s="15" t="s">
        <v>196</v>
      </c>
      <c r="C14" s="16">
        <v>90</v>
      </c>
      <c r="D14" s="16">
        <v>1080</v>
      </c>
      <c r="E14" s="15" t="s">
        <v>197</v>
      </c>
    </row>
    <row r="15" spans="2:5" ht="20.100000000000001" customHeight="1" x14ac:dyDescent="0.25">
      <c r="B15" s="18" t="s">
        <v>198</v>
      </c>
      <c r="C15" s="24">
        <v>90</v>
      </c>
      <c r="D15" s="24">
        <v>1080</v>
      </c>
      <c r="E15" s="18" t="s">
        <v>199</v>
      </c>
    </row>
    <row r="16" spans="2:5" ht="20.100000000000001" customHeight="1" x14ac:dyDescent="0.25">
      <c r="B16" s="15" t="s">
        <v>200</v>
      </c>
      <c r="C16" s="16">
        <v>100</v>
      </c>
      <c r="D16" s="16">
        <v>1200</v>
      </c>
      <c r="E16" s="15" t="s">
        <v>201</v>
      </c>
    </row>
    <row r="17" spans="2:5" ht="20.100000000000001" customHeight="1" x14ac:dyDescent="0.25">
      <c r="B17" s="18" t="s">
        <v>202</v>
      </c>
      <c r="C17" s="24">
        <v>3.33</v>
      </c>
      <c r="D17" s="24">
        <v>40</v>
      </c>
      <c r="E17" s="18" t="s">
        <v>203</v>
      </c>
    </row>
    <row r="18" spans="2:5" ht="20.100000000000001" customHeight="1" x14ac:dyDescent="0.25">
      <c r="B18" s="15" t="s">
        <v>204</v>
      </c>
      <c r="C18" s="16">
        <v>0</v>
      </c>
      <c r="D18" s="16">
        <v>0</v>
      </c>
      <c r="E18" s="15" t="s">
        <v>205</v>
      </c>
    </row>
    <row r="19" spans="2:5" ht="20.100000000000001" customHeight="1" x14ac:dyDescent="0.25">
      <c r="B19" s="18" t="s">
        <v>206</v>
      </c>
      <c r="C19" s="24">
        <v>0</v>
      </c>
      <c r="D19" s="24">
        <v>0</v>
      </c>
      <c r="E19" s="18" t="s">
        <v>207</v>
      </c>
    </row>
    <row r="20" spans="2:5" ht="20.100000000000001" customHeight="1" x14ac:dyDescent="0.25">
      <c r="B20" s="15" t="s">
        <v>208</v>
      </c>
      <c r="C20" s="16">
        <v>7000</v>
      </c>
      <c r="D20" s="16">
        <f>C20*12</f>
        <v>84000</v>
      </c>
      <c r="E20" s="15"/>
    </row>
    <row r="21" spans="2:5" ht="20.100000000000001" customHeight="1" x14ac:dyDescent="0.3">
      <c r="B21" s="25" t="s">
        <v>209</v>
      </c>
      <c r="C21" s="26">
        <f>SUM(C12:C20)</f>
        <v>7515.13</v>
      </c>
      <c r="D21" s="26">
        <f>SUM(D12:D20)</f>
        <v>90181.6</v>
      </c>
      <c r="E21" s="27"/>
    </row>
    <row r="22" spans="2:5" ht="20.100000000000001" customHeight="1" x14ac:dyDescent="0.25">
      <c r="C22" s="28"/>
      <c r="D22" s="28"/>
    </row>
    <row r="23" spans="2:5" ht="20.100000000000001" customHeight="1" x14ac:dyDescent="0.25">
      <c r="C23" s="28"/>
      <c r="D23" s="28"/>
    </row>
    <row r="24" spans="2:5" ht="20.100000000000001" customHeight="1" x14ac:dyDescent="0.25">
      <c r="C24" s="28"/>
      <c r="D24" s="28"/>
    </row>
    <row r="25" spans="2:5" ht="20.100000000000001" customHeight="1" x14ac:dyDescent="0.3">
      <c r="B25" s="25" t="s">
        <v>210</v>
      </c>
      <c r="C25" s="26">
        <f>SUM(C7+C21)</f>
        <v>29082.33</v>
      </c>
      <c r="D25" s="31"/>
      <c r="E25" s="25"/>
    </row>
    <row r="26" spans="2:5" ht="20.100000000000001" customHeight="1" x14ac:dyDescent="0.25"/>
    <row r="27" spans="2:5" ht="20.100000000000001" customHeight="1" x14ac:dyDescent="0.25">
      <c r="D27" s="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B5"/>
  <sheetViews>
    <sheetView workbookViewId="0">
      <selection activeCell="B6" sqref="B6"/>
    </sheetView>
  </sheetViews>
  <sheetFormatPr defaultRowHeight="15.75" x14ac:dyDescent="0.25"/>
  <cols>
    <col min="2" max="2" width="38" customWidth="1"/>
  </cols>
  <sheetData>
    <row r="4" spans="2:2" ht="27.95" customHeight="1" x14ac:dyDescent="0.25">
      <c r="B4" s="14" t="s">
        <v>211</v>
      </c>
    </row>
    <row r="5" spans="2:2" ht="24" customHeight="1" x14ac:dyDescent="0.25">
      <c r="B5" s="32">
        <v>6000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topLeftCell="A17" workbookViewId="0">
      <selection activeCell="C39" sqref="C39"/>
    </sheetView>
  </sheetViews>
  <sheetFormatPr defaultRowHeight="15.75" x14ac:dyDescent="0.25"/>
  <cols>
    <col min="1" max="1" width="49" customWidth="1"/>
    <col min="2" max="2" width="21" bestFit="1" customWidth="1"/>
    <col min="3" max="3" width="19" bestFit="1" customWidth="1"/>
    <col min="4" max="4" width="23" bestFit="1" customWidth="1"/>
    <col min="5" max="5" width="187" customWidth="1"/>
  </cols>
  <sheetData>
    <row r="1" spans="1:5" ht="20.100000000000001" customHeight="1" x14ac:dyDescent="0.25">
      <c r="A1" s="14" t="s">
        <v>167</v>
      </c>
      <c r="B1" s="14" t="s">
        <v>212</v>
      </c>
      <c r="C1" s="14" t="s">
        <v>213</v>
      </c>
      <c r="D1" s="14" t="s">
        <v>214</v>
      </c>
      <c r="E1" s="14" t="s">
        <v>215</v>
      </c>
    </row>
    <row r="2" spans="1:5" ht="20.100000000000001" customHeight="1" x14ac:dyDescent="0.25">
      <c r="A2" s="18" t="s">
        <v>216</v>
      </c>
      <c r="B2" s="20">
        <v>60</v>
      </c>
      <c r="C2" s="24">
        <v>350</v>
      </c>
      <c r="D2" s="24">
        <f>C2/B2</f>
        <v>5.833333333333333</v>
      </c>
      <c r="E2" s="18" t="s">
        <v>217</v>
      </c>
    </row>
    <row r="3" spans="1:5" ht="20.100000000000001" customHeight="1" x14ac:dyDescent="0.25">
      <c r="A3" s="1"/>
      <c r="C3" s="28"/>
      <c r="D3" s="28"/>
    </row>
    <row r="4" spans="1:5" ht="20.100000000000001" customHeight="1" x14ac:dyDescent="0.25">
      <c r="A4" s="14" t="s">
        <v>167</v>
      </c>
      <c r="B4" s="14" t="s">
        <v>218</v>
      </c>
      <c r="C4" s="33" t="s">
        <v>213</v>
      </c>
      <c r="D4" s="33" t="s">
        <v>219</v>
      </c>
      <c r="E4" s="14" t="s">
        <v>215</v>
      </c>
    </row>
    <row r="5" spans="1:5" ht="20.100000000000001" customHeight="1" x14ac:dyDescent="0.25">
      <c r="A5" s="18" t="s">
        <v>220</v>
      </c>
      <c r="B5" s="20">
        <v>1</v>
      </c>
      <c r="C5" s="24">
        <v>15</v>
      </c>
      <c r="D5" s="24">
        <f>C5/B5</f>
        <v>15</v>
      </c>
      <c r="E5" s="18" t="s">
        <v>221</v>
      </c>
    </row>
    <row r="6" spans="1:5" ht="20.100000000000001" customHeight="1" x14ac:dyDescent="0.25">
      <c r="A6" s="18" t="s">
        <v>222</v>
      </c>
      <c r="B6" s="20">
        <v>1</v>
      </c>
      <c r="C6" s="24">
        <v>15</v>
      </c>
      <c r="D6" s="24">
        <f>C6/B6</f>
        <v>15</v>
      </c>
      <c r="E6" s="18" t="s">
        <v>223</v>
      </c>
    </row>
    <row r="7" spans="1:5" ht="20.100000000000001" customHeight="1" x14ac:dyDescent="0.25"/>
    <row r="8" spans="1:5" ht="20.100000000000001" customHeight="1" x14ac:dyDescent="0.25">
      <c r="A8" s="14" t="s">
        <v>167</v>
      </c>
      <c r="B8" s="14" t="s">
        <v>224</v>
      </c>
      <c r="C8" s="33" t="s">
        <v>213</v>
      </c>
      <c r="D8" s="33" t="s">
        <v>225</v>
      </c>
      <c r="E8" s="14" t="s">
        <v>215</v>
      </c>
    </row>
    <row r="9" spans="1:5" ht="20.100000000000001" customHeight="1" x14ac:dyDescent="0.25">
      <c r="A9" s="18" t="s">
        <v>226</v>
      </c>
      <c r="B9" s="20">
        <v>1</v>
      </c>
      <c r="C9" s="24">
        <v>29082.33</v>
      </c>
      <c r="D9" s="24">
        <f>C9/B9</f>
        <v>29082.33</v>
      </c>
      <c r="E9" s="18" t="s">
        <v>227</v>
      </c>
    </row>
    <row r="10" spans="1:5" ht="20.100000000000001" customHeight="1" x14ac:dyDescent="0.25">
      <c r="A10" s="18" t="s">
        <v>139</v>
      </c>
      <c r="B10" s="20">
        <v>1</v>
      </c>
      <c r="C10" s="24">
        <v>6000</v>
      </c>
      <c r="D10" s="24">
        <f>C10/B10</f>
        <v>6000</v>
      </c>
      <c r="E10" s="18" t="s">
        <v>228</v>
      </c>
    </row>
    <row r="11" spans="1:5" ht="20.100000000000001" customHeight="1" x14ac:dyDescent="0.25"/>
    <row r="12" spans="1:5" ht="20.100000000000001" customHeight="1" x14ac:dyDescent="0.25">
      <c r="A12" s="14" t="s">
        <v>167</v>
      </c>
      <c r="B12" s="14" t="s">
        <v>229</v>
      </c>
      <c r="C12" s="33" t="s">
        <v>213</v>
      </c>
      <c r="D12" s="33" t="s">
        <v>230</v>
      </c>
      <c r="E12" s="14" t="s">
        <v>215</v>
      </c>
    </row>
    <row r="13" spans="1:5" ht="20.100000000000001" customHeight="1" x14ac:dyDescent="0.25">
      <c r="A13" s="18" t="s">
        <v>231</v>
      </c>
      <c r="B13" s="20">
        <v>1</v>
      </c>
      <c r="C13" s="24">
        <v>160</v>
      </c>
      <c r="D13" s="24">
        <f>C13/B13</f>
        <v>160</v>
      </c>
      <c r="E13" s="18" t="s">
        <v>232</v>
      </c>
    </row>
    <row r="14" spans="1:5" ht="20.100000000000001" customHeight="1" x14ac:dyDescent="0.25">
      <c r="A14" s="18" t="s">
        <v>233</v>
      </c>
      <c r="B14" s="20">
        <v>1</v>
      </c>
      <c r="C14" s="24">
        <v>160</v>
      </c>
      <c r="D14" s="24">
        <f>C14/B14</f>
        <v>160</v>
      </c>
      <c r="E14" s="18" t="s">
        <v>234</v>
      </c>
    </row>
    <row r="15" spans="1:5" ht="20.100000000000001" customHeight="1" x14ac:dyDescent="0.25">
      <c r="A15" s="18" t="s">
        <v>235</v>
      </c>
      <c r="B15" s="20">
        <v>1</v>
      </c>
      <c r="C15" s="24">
        <v>150</v>
      </c>
      <c r="D15" s="24">
        <f>C15/B15</f>
        <v>150</v>
      </c>
      <c r="E15" s="18" t="s">
        <v>236</v>
      </c>
    </row>
    <row r="16" spans="1:5" ht="20.100000000000001" customHeight="1" x14ac:dyDescent="0.25"/>
    <row r="17" spans="1:5" ht="20.100000000000001" customHeight="1" x14ac:dyDescent="0.25">
      <c r="A17" s="14" t="s">
        <v>167</v>
      </c>
      <c r="B17" s="14" t="s">
        <v>237</v>
      </c>
      <c r="C17" s="33" t="s">
        <v>213</v>
      </c>
      <c r="D17" s="33" t="s">
        <v>238</v>
      </c>
      <c r="E17" s="14" t="s">
        <v>215</v>
      </c>
    </row>
    <row r="18" spans="1:5" ht="20.100000000000001" customHeight="1" x14ac:dyDescent="0.25">
      <c r="A18" s="18" t="s">
        <v>239</v>
      </c>
      <c r="B18" s="20">
        <v>1</v>
      </c>
      <c r="C18" s="24">
        <v>150</v>
      </c>
      <c r="D18" s="24">
        <f>C18/B18</f>
        <v>150</v>
      </c>
      <c r="E18" s="18" t="s">
        <v>240</v>
      </c>
    </row>
    <row r="19" spans="1:5" ht="20.100000000000001" customHeight="1" x14ac:dyDescent="0.25">
      <c r="A19" s="1"/>
      <c r="B19" s="2"/>
      <c r="C19" s="3"/>
      <c r="D19" s="4"/>
    </row>
    <row r="20" spans="1:5" ht="20.100000000000001" customHeight="1" x14ac:dyDescent="0.25">
      <c r="A20" s="14" t="s">
        <v>167</v>
      </c>
      <c r="B20" s="14" t="s">
        <v>241</v>
      </c>
      <c r="C20" s="33" t="s">
        <v>242</v>
      </c>
      <c r="D20" s="33" t="s">
        <v>242</v>
      </c>
      <c r="E20" s="14" t="s">
        <v>215</v>
      </c>
    </row>
    <row r="21" spans="1:5" ht="20.100000000000001" customHeight="1" x14ac:dyDescent="0.25">
      <c r="A21" s="18" t="s">
        <v>243</v>
      </c>
      <c r="B21" s="19">
        <v>0.05</v>
      </c>
      <c r="C21" s="34" t="s">
        <v>173</v>
      </c>
      <c r="D21" s="34" t="s">
        <v>173</v>
      </c>
      <c r="E21" s="18" t="s">
        <v>244</v>
      </c>
    </row>
    <row r="22" spans="1:5" ht="20.100000000000001" customHeight="1" x14ac:dyDescent="0.25">
      <c r="A22" s="18" t="s">
        <v>245</v>
      </c>
      <c r="B22" s="19">
        <v>0.08</v>
      </c>
      <c r="C22" s="34" t="s">
        <v>173</v>
      </c>
      <c r="D22" s="34" t="s">
        <v>173</v>
      </c>
      <c r="E22" s="18" t="s">
        <v>246</v>
      </c>
    </row>
    <row r="23" spans="1:5" ht="20.100000000000001" customHeight="1" x14ac:dyDescent="0.25"/>
    <row r="24" spans="1:5" ht="20.100000000000001" customHeight="1" x14ac:dyDescent="0.25">
      <c r="A24" s="14" t="s">
        <v>167</v>
      </c>
      <c r="B24" s="14" t="s">
        <v>247</v>
      </c>
      <c r="C24" s="33" t="s">
        <v>213</v>
      </c>
      <c r="D24" s="33" t="s">
        <v>248</v>
      </c>
      <c r="E24" s="14" t="s">
        <v>215</v>
      </c>
    </row>
    <row r="25" spans="1:5" ht="20.100000000000001" customHeight="1" x14ac:dyDescent="0.25">
      <c r="A25" s="18" t="s">
        <v>249</v>
      </c>
      <c r="B25" s="20">
        <v>1</v>
      </c>
      <c r="C25" s="24">
        <v>5000</v>
      </c>
      <c r="D25" s="24">
        <f>C25/B25</f>
        <v>5000</v>
      </c>
      <c r="E25" s="18" t="s">
        <v>250</v>
      </c>
    </row>
    <row r="26" spans="1:5" ht="20.100000000000001" customHeight="1" x14ac:dyDescent="0.25">
      <c r="A26" s="18" t="s">
        <v>251</v>
      </c>
      <c r="B26" s="20">
        <v>1</v>
      </c>
      <c r="C26" s="24">
        <v>5000</v>
      </c>
      <c r="D26" s="24">
        <f>C26/B26</f>
        <v>5000</v>
      </c>
      <c r="E26" s="18" t="s">
        <v>252</v>
      </c>
    </row>
    <row r="27" spans="1:5" ht="20.100000000000001" customHeight="1" x14ac:dyDescent="0.25"/>
    <row r="28" spans="1:5" ht="20.100000000000001" customHeight="1" x14ac:dyDescent="0.25">
      <c r="A28" s="14" t="s">
        <v>167</v>
      </c>
      <c r="B28" s="14" t="s">
        <v>253</v>
      </c>
      <c r="C28" s="33" t="s">
        <v>213</v>
      </c>
      <c r="D28" s="33" t="s">
        <v>248</v>
      </c>
      <c r="E28" s="14" t="s">
        <v>215</v>
      </c>
    </row>
    <row r="29" spans="1:5" ht="20.100000000000001" customHeight="1" x14ac:dyDescent="0.25">
      <c r="A29" s="18" t="s">
        <v>254</v>
      </c>
      <c r="B29" s="20">
        <v>25</v>
      </c>
      <c r="C29" s="24">
        <v>5000</v>
      </c>
      <c r="D29" s="24">
        <f t="shared" ref="D29:D34" si="0">C29/B29</f>
        <v>200</v>
      </c>
      <c r="E29" s="18" t="s">
        <v>255</v>
      </c>
    </row>
    <row r="30" spans="1:5" ht="20.100000000000001" customHeight="1" x14ac:dyDescent="0.25">
      <c r="A30" s="18" t="s">
        <v>256</v>
      </c>
      <c r="B30" s="20">
        <v>10</v>
      </c>
      <c r="C30" s="24">
        <f>C2</f>
        <v>350</v>
      </c>
      <c r="D30" s="24">
        <f t="shared" si="0"/>
        <v>35</v>
      </c>
      <c r="E30" s="18" t="s">
        <v>255</v>
      </c>
    </row>
    <row r="31" spans="1:5" ht="20.100000000000001" customHeight="1" x14ac:dyDescent="0.25">
      <c r="A31" s="18" t="s">
        <v>257</v>
      </c>
      <c r="B31" s="20">
        <v>100</v>
      </c>
      <c r="C31" s="24">
        <f>C26</f>
        <v>5000</v>
      </c>
      <c r="D31" s="24">
        <f t="shared" si="0"/>
        <v>50</v>
      </c>
      <c r="E31" s="18" t="s">
        <v>255</v>
      </c>
    </row>
    <row r="32" spans="1:5" ht="20.100000000000001" customHeight="1" x14ac:dyDescent="0.25">
      <c r="A32" s="18" t="s">
        <v>258</v>
      </c>
      <c r="B32" s="20">
        <v>1000</v>
      </c>
      <c r="C32" s="24">
        <f>C9</f>
        <v>29082.33</v>
      </c>
      <c r="D32" s="24">
        <f t="shared" si="0"/>
        <v>29.082330000000002</v>
      </c>
      <c r="E32" s="18" t="s">
        <v>255</v>
      </c>
    </row>
    <row r="33" spans="1:5" ht="20.100000000000001" customHeight="1" x14ac:dyDescent="0.25">
      <c r="A33" s="18" t="s">
        <v>259</v>
      </c>
      <c r="B33" s="20">
        <v>20</v>
      </c>
      <c r="C33" s="24">
        <f>C10</f>
        <v>6000</v>
      </c>
      <c r="D33" s="24">
        <f t="shared" si="0"/>
        <v>300</v>
      </c>
      <c r="E33" s="18" t="s">
        <v>255</v>
      </c>
    </row>
    <row r="34" spans="1:5" ht="20.100000000000001" customHeight="1" x14ac:dyDescent="0.25">
      <c r="A34" s="18" t="s">
        <v>260</v>
      </c>
      <c r="B34" s="20">
        <v>300</v>
      </c>
      <c r="C34" s="24">
        <f>'Custos gerais'!C4</f>
        <v>24000</v>
      </c>
      <c r="D34" s="24">
        <f t="shared" si="0"/>
        <v>80</v>
      </c>
      <c r="E34" s="18" t="s">
        <v>255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99"/>
  <sheetViews>
    <sheetView topLeftCell="A137" zoomScale="70" zoomScaleNormal="70" workbookViewId="0">
      <selection activeCell="E153" sqref="E153"/>
    </sheetView>
  </sheetViews>
  <sheetFormatPr defaultRowHeight="15.75" x14ac:dyDescent="0.25"/>
  <cols>
    <col min="1" max="1" width="12" customWidth="1"/>
    <col min="2" max="2" width="4.5" customWidth="1"/>
    <col min="3" max="3" width="40" bestFit="1" customWidth="1"/>
    <col min="4" max="4" width="9.125" customWidth="1"/>
    <col min="5" max="5" width="19" style="4" customWidth="1"/>
    <col min="6" max="6" width="141" bestFit="1" customWidth="1"/>
  </cols>
  <sheetData>
    <row r="1" spans="2:6" ht="20.100000000000001" customHeight="1" x14ac:dyDescent="0.3">
      <c r="C1" s="35" t="s">
        <v>261</v>
      </c>
      <c r="D1" s="36">
        <v>0.2</v>
      </c>
    </row>
    <row r="2" spans="2:6" ht="20.100000000000001" customHeight="1" x14ac:dyDescent="0.25"/>
    <row r="3" spans="2:6" ht="20.100000000000001" customHeight="1" x14ac:dyDescent="0.3">
      <c r="B3" s="72"/>
      <c r="C3" s="37" t="s">
        <v>262</v>
      </c>
      <c r="D3" s="37"/>
      <c r="E3" s="38"/>
      <c r="F3" s="37"/>
    </row>
    <row r="4" spans="2:6" ht="20.100000000000001" customHeight="1" x14ac:dyDescent="0.3">
      <c r="B4" s="72"/>
      <c r="C4" s="39" t="s">
        <v>167</v>
      </c>
      <c r="D4" s="39" t="s">
        <v>263</v>
      </c>
      <c r="E4" s="40" t="s">
        <v>213</v>
      </c>
      <c r="F4" s="40" t="s">
        <v>264</v>
      </c>
    </row>
    <row r="5" spans="2:6" ht="20.100000000000001" customHeight="1" x14ac:dyDescent="0.3">
      <c r="B5" s="72"/>
      <c r="C5" s="41" t="s">
        <v>260</v>
      </c>
      <c r="D5" s="42">
        <v>1</v>
      </c>
      <c r="E5" s="43">
        <v>80</v>
      </c>
      <c r="F5" s="6"/>
    </row>
    <row r="6" spans="2:6" ht="20.100000000000001" customHeight="1" x14ac:dyDescent="0.3">
      <c r="B6" s="72"/>
      <c r="C6" s="41" t="s">
        <v>216</v>
      </c>
      <c r="D6" s="42">
        <v>45</v>
      </c>
      <c r="E6" s="43">
        <f>D6*'Referencias de Custos'!$D$2</f>
        <v>262.5</v>
      </c>
    </row>
    <row r="7" spans="2:6" ht="20.100000000000001" customHeight="1" x14ac:dyDescent="0.3">
      <c r="B7" s="72"/>
      <c r="C7" s="44" t="s">
        <v>265</v>
      </c>
      <c r="D7" s="45" t="s">
        <v>242</v>
      </c>
      <c r="E7" s="46">
        <f>SUM(E5:E6)</f>
        <v>342.5</v>
      </c>
      <c r="F7" s="25"/>
    </row>
    <row r="8" spans="2:6" ht="20.100000000000001" customHeight="1" x14ac:dyDescent="0.3">
      <c r="B8" s="72"/>
      <c r="C8" s="35" t="s">
        <v>266</v>
      </c>
      <c r="D8" s="42" t="s">
        <v>242</v>
      </c>
      <c r="E8" s="43">
        <f>E7*$D$1</f>
        <v>68.5</v>
      </c>
    </row>
    <row r="9" spans="2:6" ht="20.100000000000001" customHeight="1" x14ac:dyDescent="0.3">
      <c r="B9" s="72"/>
      <c r="C9" s="44" t="s">
        <v>267</v>
      </c>
      <c r="D9" s="45" t="s">
        <v>242</v>
      </c>
      <c r="E9" s="46">
        <f>E8+E7</f>
        <v>411</v>
      </c>
      <c r="F9" s="25"/>
    </row>
    <row r="10" spans="2:6" ht="20.100000000000001" customHeight="1" x14ac:dyDescent="0.3">
      <c r="B10" s="72"/>
      <c r="E10" s="3"/>
    </row>
    <row r="11" spans="2:6" ht="20.100000000000001" customHeight="1" x14ac:dyDescent="0.3">
      <c r="B11" s="72"/>
      <c r="C11" s="47" t="s">
        <v>268</v>
      </c>
      <c r="E11" s="3"/>
    </row>
    <row r="12" spans="2:6" ht="20.100000000000001" customHeight="1" x14ac:dyDescent="0.3">
      <c r="B12" s="72"/>
      <c r="C12" s="41" t="s">
        <v>243</v>
      </c>
      <c r="D12" s="48">
        <v>0.05</v>
      </c>
      <c r="E12" s="43">
        <f>E9*D12</f>
        <v>20.55</v>
      </c>
    </row>
    <row r="13" spans="2:6" ht="20.100000000000001" customHeight="1" x14ac:dyDescent="0.3">
      <c r="B13" s="72"/>
      <c r="C13" s="41" t="s">
        <v>245</v>
      </c>
      <c r="D13" s="48">
        <v>0.08</v>
      </c>
      <c r="E13" s="43">
        <f>(E12+E9)*D13</f>
        <v>34.524000000000001</v>
      </c>
    </row>
    <row r="14" spans="2:6" ht="20.100000000000001" customHeight="1" x14ac:dyDescent="0.3">
      <c r="B14" s="72"/>
      <c r="C14" s="44" t="s">
        <v>269</v>
      </c>
      <c r="D14" s="45" t="s">
        <v>242</v>
      </c>
      <c r="E14" s="46">
        <f>SUM(E12:E13,E9)</f>
        <v>466.07400000000001</v>
      </c>
      <c r="F14" s="25"/>
    </row>
    <row r="15" spans="2:6" ht="20.100000000000001" customHeight="1" x14ac:dyDescent="0.3">
      <c r="B15" s="72"/>
      <c r="C15" s="35" t="s">
        <v>270</v>
      </c>
      <c r="D15" s="48">
        <v>0.03</v>
      </c>
      <c r="E15" s="43">
        <f>-E14*D15</f>
        <v>-13.98222</v>
      </c>
    </row>
    <row r="16" spans="2:6" ht="20.100000000000001" customHeight="1" x14ac:dyDescent="0.3">
      <c r="B16" s="72"/>
      <c r="C16" s="35" t="s">
        <v>271</v>
      </c>
      <c r="D16" s="42">
        <v>0</v>
      </c>
      <c r="E16" s="5"/>
    </row>
    <row r="17" spans="2:6" ht="20.100000000000001" customHeight="1" x14ac:dyDescent="0.3">
      <c r="B17" s="72"/>
    </row>
    <row r="18" spans="2:6" ht="20.100000000000001" customHeight="1" x14ac:dyDescent="0.3">
      <c r="B18" s="72"/>
      <c r="C18" s="47" t="s">
        <v>272</v>
      </c>
      <c r="E18" s="3"/>
    </row>
    <row r="19" spans="2:6" ht="20.100000000000001" customHeight="1" x14ac:dyDescent="0.3">
      <c r="B19" s="72"/>
      <c r="C19" s="41" t="s">
        <v>243</v>
      </c>
      <c r="D19" s="48">
        <v>0.01</v>
      </c>
      <c r="E19" s="43">
        <f>E9*D19</f>
        <v>4.1100000000000003</v>
      </c>
    </row>
    <row r="20" spans="2:6" ht="20.100000000000001" customHeight="1" x14ac:dyDescent="0.3">
      <c r="B20" s="72"/>
      <c r="C20" s="41" t="s">
        <v>245</v>
      </c>
      <c r="D20" s="48">
        <v>0.08</v>
      </c>
      <c r="E20" s="43">
        <f>(E19+E9)*D20</f>
        <v>33.208800000000004</v>
      </c>
    </row>
    <row r="21" spans="2:6" ht="20.100000000000001" customHeight="1" x14ac:dyDescent="0.3">
      <c r="B21" s="72"/>
      <c r="C21" s="44" t="s">
        <v>273</v>
      </c>
      <c r="D21" s="45" t="s">
        <v>242</v>
      </c>
      <c r="E21" s="46">
        <f>SUM(E19:E20,$E$9)</f>
        <v>448.31880000000001</v>
      </c>
      <c r="F21" s="25"/>
    </row>
    <row r="22" spans="2:6" ht="20.100000000000001" customHeight="1" x14ac:dyDescent="0.3">
      <c r="B22" s="72"/>
      <c r="C22" s="35" t="s">
        <v>274</v>
      </c>
      <c r="D22" s="48">
        <v>0</v>
      </c>
      <c r="E22" s="43">
        <f>-E21*D22</f>
        <v>0</v>
      </c>
    </row>
    <row r="23" spans="2:6" ht="20.100000000000001" customHeight="1" x14ac:dyDescent="0.3">
      <c r="B23" s="72"/>
      <c r="C23" s="12"/>
      <c r="D23" s="13"/>
      <c r="E23" s="5"/>
    </row>
    <row r="24" spans="2:6" ht="20.100000000000001" customHeight="1" x14ac:dyDescent="0.3">
      <c r="B24" s="72"/>
      <c r="C24" s="35" t="s">
        <v>275</v>
      </c>
      <c r="D24" s="49">
        <f>E24/E21</f>
        <v>-0.17844444622888891</v>
      </c>
      <c r="E24" s="43">
        <f>-(E5)</f>
        <v>-80</v>
      </c>
    </row>
    <row r="25" spans="2:6" ht="20.100000000000001" customHeight="1" x14ac:dyDescent="0.3">
      <c r="B25" s="72"/>
      <c r="E25" s="3"/>
    </row>
    <row r="26" spans="2:6" ht="20.100000000000001" customHeight="1" x14ac:dyDescent="0.3">
      <c r="B26" s="72"/>
      <c r="C26" s="50" t="s">
        <v>276</v>
      </c>
      <c r="D26" s="42" t="s">
        <v>277</v>
      </c>
      <c r="E26" s="3"/>
    </row>
    <row r="27" spans="2:6" ht="20.100000000000001" customHeight="1" x14ac:dyDescent="0.25"/>
    <row r="28" spans="2:6" ht="20.100000000000001" customHeight="1" x14ac:dyDescent="0.3">
      <c r="B28" s="72"/>
      <c r="C28" s="37" t="s">
        <v>25</v>
      </c>
      <c r="D28" s="37"/>
      <c r="E28" s="38"/>
      <c r="F28" s="37"/>
    </row>
    <row r="29" spans="2:6" ht="20.100000000000001" customHeight="1" x14ac:dyDescent="0.3">
      <c r="B29" s="72"/>
      <c r="C29" s="39" t="s">
        <v>167</v>
      </c>
      <c r="D29" s="39" t="s">
        <v>263</v>
      </c>
      <c r="E29" s="40" t="s">
        <v>213</v>
      </c>
      <c r="F29" s="40" t="s">
        <v>264</v>
      </c>
    </row>
    <row r="30" spans="2:6" ht="20.100000000000001" customHeight="1" x14ac:dyDescent="0.3">
      <c r="B30" s="72"/>
      <c r="C30" s="41" t="s">
        <v>260</v>
      </c>
      <c r="D30" s="42">
        <v>1</v>
      </c>
      <c r="E30" s="43">
        <v>80</v>
      </c>
      <c r="F30" s="6"/>
    </row>
    <row r="31" spans="2:6" ht="20.100000000000001" customHeight="1" x14ac:dyDescent="0.3">
      <c r="B31" s="72"/>
      <c r="C31" s="41" t="s">
        <v>258</v>
      </c>
      <c r="D31" s="42">
        <v>1</v>
      </c>
      <c r="E31" s="43">
        <v>29.08</v>
      </c>
      <c r="F31" s="6"/>
    </row>
    <row r="32" spans="2:6" ht="20.100000000000001" customHeight="1" x14ac:dyDescent="0.3">
      <c r="B32" s="72"/>
      <c r="C32" s="41" t="s">
        <v>257</v>
      </c>
      <c r="D32" s="42">
        <v>1</v>
      </c>
      <c r="E32" s="43">
        <f>'Referencias de Custos'!D31</f>
        <v>50</v>
      </c>
      <c r="F32" s="6"/>
    </row>
    <row r="33" spans="2:6" ht="20.100000000000001" customHeight="1" x14ac:dyDescent="0.3">
      <c r="B33" s="72"/>
      <c r="C33" s="41" t="s">
        <v>216</v>
      </c>
      <c r="D33" s="42">
        <v>90</v>
      </c>
      <c r="E33" s="43">
        <f>D33*'Referencias de Custos'!$D$2</f>
        <v>525</v>
      </c>
      <c r="F33" s="50" t="s">
        <v>278</v>
      </c>
    </row>
    <row r="34" spans="2:6" ht="20.100000000000001" customHeight="1" x14ac:dyDescent="0.3">
      <c r="B34" s="72"/>
      <c r="C34" s="44" t="s">
        <v>265</v>
      </c>
      <c r="D34" s="45" t="s">
        <v>242</v>
      </c>
      <c r="E34" s="46">
        <f>SUM(E30:E33)</f>
        <v>684.07999999999993</v>
      </c>
      <c r="F34" s="51"/>
    </row>
    <row r="35" spans="2:6" ht="20.100000000000001" customHeight="1" x14ac:dyDescent="0.3">
      <c r="B35" s="72"/>
      <c r="C35" s="35" t="s">
        <v>266</v>
      </c>
      <c r="D35" s="42" t="s">
        <v>242</v>
      </c>
      <c r="E35" s="43">
        <f>E34*$D$1</f>
        <v>136.816</v>
      </c>
      <c r="F35" s="6"/>
    </row>
    <row r="36" spans="2:6" ht="20.100000000000001" customHeight="1" x14ac:dyDescent="0.3">
      <c r="B36" s="72"/>
      <c r="C36" s="44" t="s">
        <v>267</v>
      </c>
      <c r="D36" s="45" t="s">
        <v>242</v>
      </c>
      <c r="E36" s="46">
        <f>E35+E34</f>
        <v>820.89599999999996</v>
      </c>
      <c r="F36" s="51"/>
    </row>
    <row r="37" spans="2:6" ht="20.100000000000001" customHeight="1" x14ac:dyDescent="0.3">
      <c r="B37" s="72"/>
      <c r="E37" s="3"/>
    </row>
    <row r="38" spans="2:6" ht="20.100000000000001" customHeight="1" x14ac:dyDescent="0.3">
      <c r="B38" s="72"/>
      <c r="C38" s="47" t="s">
        <v>268</v>
      </c>
      <c r="E38" s="3"/>
    </row>
    <row r="39" spans="2:6" ht="20.100000000000001" customHeight="1" x14ac:dyDescent="0.3">
      <c r="B39" s="72"/>
      <c r="C39" s="41" t="s">
        <v>243</v>
      </c>
      <c r="D39" s="48">
        <v>0.05</v>
      </c>
      <c r="E39" s="43">
        <f>E36*D39</f>
        <v>41.044800000000002</v>
      </c>
    </row>
    <row r="40" spans="2:6" ht="20.100000000000001" customHeight="1" x14ac:dyDescent="0.3">
      <c r="B40" s="72"/>
      <c r="C40" s="41" t="s">
        <v>245</v>
      </c>
      <c r="D40" s="48">
        <v>0.08</v>
      </c>
      <c r="E40" s="43">
        <f>(E39+E36)*D40</f>
        <v>68.955264</v>
      </c>
    </row>
    <row r="41" spans="2:6" ht="20.100000000000001" customHeight="1" x14ac:dyDescent="0.3">
      <c r="B41" s="72"/>
      <c r="C41" s="44" t="s">
        <v>269</v>
      </c>
      <c r="D41" s="45" t="s">
        <v>242</v>
      </c>
      <c r="E41" s="46">
        <v>930.9</v>
      </c>
      <c r="F41" s="25"/>
    </row>
    <row r="42" spans="2:6" ht="20.100000000000001" customHeight="1" x14ac:dyDescent="0.3">
      <c r="B42" s="72"/>
      <c r="C42" s="35" t="s">
        <v>270</v>
      </c>
      <c r="D42" s="48">
        <v>0.03</v>
      </c>
      <c r="E42" s="43">
        <f>-E41*D42</f>
        <v>-27.927</v>
      </c>
    </row>
    <row r="43" spans="2:6" ht="20.100000000000001" customHeight="1" x14ac:dyDescent="0.3">
      <c r="B43" s="72"/>
      <c r="C43" s="35" t="s">
        <v>271</v>
      </c>
      <c r="D43" s="42">
        <v>3</v>
      </c>
      <c r="E43" s="52">
        <f>E41/D43</f>
        <v>310.3</v>
      </c>
    </row>
    <row r="44" spans="2:6" ht="20.100000000000001" customHeight="1" x14ac:dyDescent="0.3">
      <c r="B44" s="72"/>
    </row>
    <row r="45" spans="2:6" ht="20.100000000000001" customHeight="1" x14ac:dyDescent="0.3">
      <c r="B45" s="72"/>
      <c r="C45" s="47" t="s">
        <v>272</v>
      </c>
      <c r="E45" s="3"/>
    </row>
    <row r="46" spans="2:6" ht="20.100000000000001" customHeight="1" x14ac:dyDescent="0.3">
      <c r="B46" s="72"/>
      <c r="C46" s="41" t="s">
        <v>243</v>
      </c>
      <c r="D46" s="48">
        <v>0.01</v>
      </c>
      <c r="E46" s="43">
        <f>E36*D46</f>
        <v>8.2089599999999994</v>
      </c>
    </row>
    <row r="47" spans="2:6" ht="20.100000000000001" customHeight="1" x14ac:dyDescent="0.3">
      <c r="B47" s="72"/>
      <c r="C47" s="41" t="s">
        <v>245</v>
      </c>
      <c r="D47" s="48">
        <v>0.08</v>
      </c>
      <c r="E47" s="43">
        <f>(E46+E36)*D47</f>
        <v>66.328396800000007</v>
      </c>
    </row>
    <row r="48" spans="2:6" ht="20.100000000000001" customHeight="1" x14ac:dyDescent="0.3">
      <c r="B48" s="72"/>
      <c r="C48" s="44" t="s">
        <v>273</v>
      </c>
      <c r="D48" s="45" t="s">
        <v>242</v>
      </c>
      <c r="E48" s="46">
        <v>895.43</v>
      </c>
      <c r="F48" s="25"/>
    </row>
    <row r="49" spans="2:6" ht="20.100000000000001" customHeight="1" x14ac:dyDescent="0.3">
      <c r="B49" s="72"/>
      <c r="C49" s="35" t="s">
        <v>274</v>
      </c>
      <c r="D49" s="48">
        <v>0</v>
      </c>
      <c r="E49" s="43">
        <f>-E48*D49</f>
        <v>0</v>
      </c>
    </row>
    <row r="50" spans="2:6" ht="20.100000000000001" customHeight="1" x14ac:dyDescent="0.3">
      <c r="B50" s="72"/>
      <c r="C50" s="12"/>
      <c r="D50" s="13"/>
      <c r="E50" s="5"/>
    </row>
    <row r="51" spans="2:6" ht="20.100000000000001" customHeight="1" x14ac:dyDescent="0.3">
      <c r="B51" s="72"/>
      <c r="C51" s="35" t="s">
        <v>275</v>
      </c>
      <c r="D51" s="49">
        <f>E51/E48</f>
        <v>-0.12181856761555901</v>
      </c>
      <c r="E51" s="43">
        <f>-(E30+E31)</f>
        <v>-109.08</v>
      </c>
    </row>
    <row r="52" spans="2:6" ht="20.100000000000001" customHeight="1" x14ac:dyDescent="0.3">
      <c r="B52" s="72"/>
      <c r="E52" s="3"/>
    </row>
    <row r="53" spans="2:6" ht="20.100000000000001" customHeight="1" x14ac:dyDescent="0.3">
      <c r="B53" s="72"/>
      <c r="D53" s="2"/>
      <c r="E53" s="3"/>
      <c r="F53" s="6"/>
    </row>
    <row r="54" spans="2:6" ht="20.100000000000001" customHeight="1" x14ac:dyDescent="0.3">
      <c r="B54" s="72"/>
      <c r="C54" s="50" t="s">
        <v>276</v>
      </c>
      <c r="D54" s="42" t="s">
        <v>279</v>
      </c>
    </row>
    <row r="55" spans="2:6" ht="20.100000000000001" customHeight="1" x14ac:dyDescent="0.25"/>
    <row r="56" spans="2:6" ht="20.100000000000001" customHeight="1" x14ac:dyDescent="0.3">
      <c r="B56" s="72"/>
      <c r="C56" s="37" t="s">
        <v>74</v>
      </c>
      <c r="D56" s="37"/>
      <c r="E56" s="38"/>
      <c r="F56" s="37"/>
    </row>
    <row r="57" spans="2:6" ht="20.100000000000001" customHeight="1" x14ac:dyDescent="0.3">
      <c r="B57" s="72"/>
      <c r="C57" s="39" t="s">
        <v>167</v>
      </c>
      <c r="D57" s="39" t="s">
        <v>263</v>
      </c>
      <c r="E57" s="40" t="s">
        <v>213</v>
      </c>
      <c r="F57" s="40" t="s">
        <v>264</v>
      </c>
    </row>
    <row r="58" spans="2:6" ht="20.100000000000001" customHeight="1" x14ac:dyDescent="0.3">
      <c r="B58" s="72"/>
      <c r="C58" s="41" t="s">
        <v>260</v>
      </c>
      <c r="D58" s="42">
        <v>1</v>
      </c>
      <c r="E58" s="43">
        <v>80</v>
      </c>
      <c r="F58" s="6"/>
    </row>
    <row r="59" spans="2:6" ht="20.100000000000001" customHeight="1" x14ac:dyDescent="0.3">
      <c r="B59" s="72"/>
      <c r="C59" s="41" t="s">
        <v>258</v>
      </c>
      <c r="D59" s="42">
        <v>1</v>
      </c>
      <c r="E59" s="43">
        <v>29.08</v>
      </c>
      <c r="F59" s="6"/>
    </row>
    <row r="60" spans="2:6" ht="20.100000000000001" customHeight="1" x14ac:dyDescent="0.3">
      <c r="B60" s="72"/>
      <c r="C60" s="41" t="s">
        <v>220</v>
      </c>
      <c r="D60" s="42">
        <v>1</v>
      </c>
      <c r="E60" s="43">
        <v>15</v>
      </c>
    </row>
    <row r="61" spans="2:6" ht="20.100000000000001" customHeight="1" x14ac:dyDescent="0.3">
      <c r="B61" s="72"/>
      <c r="C61" s="41" t="s">
        <v>231</v>
      </c>
      <c r="D61" s="42">
        <v>1</v>
      </c>
      <c r="E61" s="43">
        <v>160</v>
      </c>
    </row>
    <row r="62" spans="2:6" ht="20.100000000000001" customHeight="1" x14ac:dyDescent="0.3">
      <c r="B62" s="72"/>
      <c r="C62" s="41" t="s">
        <v>233</v>
      </c>
      <c r="D62" s="42">
        <v>1</v>
      </c>
      <c r="E62" s="43">
        <v>160</v>
      </c>
    </row>
    <row r="63" spans="2:6" ht="20.100000000000001" customHeight="1" x14ac:dyDescent="0.3">
      <c r="B63" s="72"/>
      <c r="C63" s="41" t="s">
        <v>216</v>
      </c>
      <c r="D63" s="42">
        <v>120</v>
      </c>
      <c r="E63" s="43">
        <f>D63*'Referencias de Custos'!$D$2</f>
        <v>700</v>
      </c>
      <c r="F63" s="41" t="s">
        <v>280</v>
      </c>
    </row>
    <row r="64" spans="2:6" ht="20.100000000000001" customHeight="1" x14ac:dyDescent="0.3">
      <c r="B64" s="72"/>
      <c r="C64" s="41" t="s">
        <v>256</v>
      </c>
      <c r="D64" s="42">
        <v>2</v>
      </c>
      <c r="E64" s="43">
        <f>D64*'Referencias de Custos'!$D$30</f>
        <v>70</v>
      </c>
      <c r="F64" s="41" t="s">
        <v>281</v>
      </c>
    </row>
    <row r="65" spans="2:6" ht="20.100000000000001" customHeight="1" x14ac:dyDescent="0.3">
      <c r="B65" s="72"/>
      <c r="C65" s="44" t="s">
        <v>265</v>
      </c>
      <c r="D65" s="45" t="s">
        <v>242</v>
      </c>
      <c r="E65" s="46">
        <f>SUM(E58:E64)</f>
        <v>1214.08</v>
      </c>
      <c r="F65" s="25"/>
    </row>
    <row r="66" spans="2:6" ht="20.100000000000001" customHeight="1" x14ac:dyDescent="0.3">
      <c r="B66" s="72"/>
      <c r="C66" s="35" t="s">
        <v>266</v>
      </c>
      <c r="D66" s="42" t="s">
        <v>242</v>
      </c>
      <c r="E66" s="43">
        <f>E65*$D$1</f>
        <v>242.816</v>
      </c>
    </row>
    <row r="67" spans="2:6" ht="20.100000000000001" customHeight="1" x14ac:dyDescent="0.3">
      <c r="B67" s="72"/>
      <c r="C67" s="44" t="s">
        <v>267</v>
      </c>
      <c r="D67" s="45" t="s">
        <v>242</v>
      </c>
      <c r="E67" s="46">
        <f>E66+E65</f>
        <v>1456.896</v>
      </c>
      <c r="F67" s="25"/>
    </row>
    <row r="68" spans="2:6" ht="20.100000000000001" customHeight="1" x14ac:dyDescent="0.3">
      <c r="B68" s="72"/>
      <c r="E68" s="3"/>
    </row>
    <row r="69" spans="2:6" ht="20.100000000000001" customHeight="1" x14ac:dyDescent="0.3">
      <c r="B69" s="72"/>
      <c r="C69" s="47" t="s">
        <v>268</v>
      </c>
      <c r="E69" s="3"/>
    </row>
    <row r="70" spans="2:6" ht="20.100000000000001" customHeight="1" x14ac:dyDescent="0.3">
      <c r="B70" s="72"/>
      <c r="C70" s="41" t="s">
        <v>243</v>
      </c>
      <c r="D70" s="48">
        <v>0.05</v>
      </c>
      <c r="E70" s="43">
        <f>E67*D70</f>
        <v>72.844800000000006</v>
      </c>
    </row>
    <row r="71" spans="2:6" ht="20.100000000000001" customHeight="1" x14ac:dyDescent="0.3">
      <c r="B71" s="72"/>
      <c r="C71" s="41" t="s">
        <v>245</v>
      </c>
      <c r="D71" s="48">
        <v>0.08</v>
      </c>
      <c r="E71" s="43">
        <f>(E70+E67)*D71</f>
        <v>122.37926400000001</v>
      </c>
    </row>
    <row r="72" spans="2:6" ht="20.100000000000001" customHeight="1" x14ac:dyDescent="0.3">
      <c r="B72" s="72"/>
      <c r="C72" s="44" t="s">
        <v>269</v>
      </c>
      <c r="D72" s="45" t="s">
        <v>242</v>
      </c>
      <c r="E72" s="46">
        <v>1652.12</v>
      </c>
      <c r="F72" s="25"/>
    </row>
    <row r="73" spans="2:6" ht="20.100000000000001" customHeight="1" x14ac:dyDescent="0.3">
      <c r="B73" s="72"/>
      <c r="C73" s="35" t="s">
        <v>270</v>
      </c>
      <c r="D73" s="48">
        <v>0.03</v>
      </c>
      <c r="E73" s="43">
        <f>-E72*D73</f>
        <v>-49.563599999999994</v>
      </c>
    </row>
    <row r="74" spans="2:6" ht="20.100000000000001" customHeight="1" x14ac:dyDescent="0.3">
      <c r="B74" s="72"/>
      <c r="C74" s="35" t="s">
        <v>271</v>
      </c>
      <c r="D74" s="42">
        <v>5</v>
      </c>
      <c r="E74" s="52">
        <f>E72/D74</f>
        <v>330.42399999999998</v>
      </c>
    </row>
    <row r="75" spans="2:6" ht="20.100000000000001" customHeight="1" x14ac:dyDescent="0.3">
      <c r="B75" s="72"/>
    </row>
    <row r="76" spans="2:6" ht="20.100000000000001" customHeight="1" x14ac:dyDescent="0.3">
      <c r="B76" s="72"/>
      <c r="C76" s="47" t="s">
        <v>272</v>
      </c>
      <c r="E76" s="3"/>
    </row>
    <row r="77" spans="2:6" ht="20.100000000000001" customHeight="1" x14ac:dyDescent="0.3">
      <c r="B77" s="72"/>
      <c r="C77" s="41" t="s">
        <v>243</v>
      </c>
      <c r="D77" s="48">
        <v>0.01</v>
      </c>
      <c r="E77" s="43">
        <f>E67*D77</f>
        <v>14.568960000000001</v>
      </c>
    </row>
    <row r="78" spans="2:6" ht="20.100000000000001" customHeight="1" x14ac:dyDescent="0.3">
      <c r="B78" s="72"/>
      <c r="C78" s="41" t="s">
        <v>245</v>
      </c>
      <c r="D78" s="48">
        <v>0.08</v>
      </c>
      <c r="E78" s="43">
        <f>(E77+E67)*D78</f>
        <v>117.71719680000001</v>
      </c>
    </row>
    <row r="79" spans="2:6" ht="20.100000000000001" customHeight="1" x14ac:dyDescent="0.3">
      <c r="B79" s="72"/>
      <c r="C79" s="44" t="s">
        <v>273</v>
      </c>
      <c r="D79" s="45" t="s">
        <v>242</v>
      </c>
      <c r="E79" s="46">
        <v>1589.18</v>
      </c>
      <c r="F79" s="25"/>
    </row>
    <row r="80" spans="2:6" ht="20.100000000000001" customHeight="1" x14ac:dyDescent="0.3">
      <c r="B80" s="72"/>
      <c r="C80" s="35" t="s">
        <v>274</v>
      </c>
      <c r="D80" s="48">
        <v>0</v>
      </c>
      <c r="E80" s="43">
        <f>-E79*D80</f>
        <v>0</v>
      </c>
    </row>
    <row r="81" spans="2:6" ht="20.100000000000001" customHeight="1" x14ac:dyDescent="0.3">
      <c r="B81" s="72"/>
      <c r="C81" s="12"/>
      <c r="D81" s="13"/>
      <c r="E81" s="5"/>
    </row>
    <row r="82" spans="2:6" ht="20.100000000000001" customHeight="1" x14ac:dyDescent="0.3">
      <c r="B82" s="72"/>
      <c r="C82" s="35" t="s">
        <v>275</v>
      </c>
      <c r="D82" s="49">
        <f>E82/E79</f>
        <v>-0.29831737122289481</v>
      </c>
      <c r="E82" s="43">
        <f>-(E58+E59+E60+350)</f>
        <v>-474.08</v>
      </c>
    </row>
    <row r="83" spans="2:6" ht="20.100000000000001" customHeight="1" x14ac:dyDescent="0.3">
      <c r="B83" s="72"/>
      <c r="D83" s="2"/>
      <c r="E83" s="3"/>
    </row>
    <row r="84" spans="2:6" ht="20.100000000000001" customHeight="1" x14ac:dyDescent="0.3">
      <c r="B84" s="72"/>
      <c r="C84" s="50" t="s">
        <v>276</v>
      </c>
      <c r="D84" s="42" t="s">
        <v>279</v>
      </c>
      <c r="E84" s="3"/>
    </row>
    <row r="85" spans="2:6" ht="20.100000000000001" customHeight="1" x14ac:dyDescent="0.25"/>
    <row r="86" spans="2:6" ht="20.100000000000001" customHeight="1" x14ac:dyDescent="0.3">
      <c r="B86" s="72"/>
      <c r="C86" s="37" t="s">
        <v>96</v>
      </c>
      <c r="D86" s="37"/>
      <c r="E86" s="38"/>
      <c r="F86" s="37"/>
    </row>
    <row r="87" spans="2:6" ht="20.100000000000001" customHeight="1" x14ac:dyDescent="0.3">
      <c r="B87" s="72"/>
      <c r="C87" s="39" t="s">
        <v>167</v>
      </c>
      <c r="D87" s="39" t="s">
        <v>263</v>
      </c>
      <c r="E87" s="40" t="s">
        <v>213</v>
      </c>
      <c r="F87" s="40" t="s">
        <v>264</v>
      </c>
    </row>
    <row r="88" spans="2:6" ht="20.100000000000001" customHeight="1" x14ac:dyDescent="0.3">
      <c r="B88" s="72"/>
      <c r="C88" s="41" t="s">
        <v>260</v>
      </c>
      <c r="D88" s="42">
        <v>1</v>
      </c>
      <c r="E88" s="43">
        <v>80</v>
      </c>
      <c r="F88" s="6"/>
    </row>
    <row r="89" spans="2:6" ht="20.100000000000001" customHeight="1" x14ac:dyDescent="0.3">
      <c r="B89" s="72"/>
      <c r="C89" s="41" t="s">
        <v>258</v>
      </c>
      <c r="D89" s="42">
        <v>1</v>
      </c>
      <c r="E89" s="43">
        <v>29.08</v>
      </c>
      <c r="F89" s="6"/>
    </row>
    <row r="90" spans="2:6" ht="20.100000000000001" customHeight="1" x14ac:dyDescent="0.3">
      <c r="B90" s="72"/>
      <c r="C90" s="41" t="s">
        <v>220</v>
      </c>
      <c r="D90" s="42">
        <v>1</v>
      </c>
      <c r="E90" s="43">
        <v>15</v>
      </c>
    </row>
    <row r="91" spans="2:6" ht="20.100000000000001" customHeight="1" x14ac:dyDescent="0.3">
      <c r="B91" s="72"/>
      <c r="C91" s="41" t="s">
        <v>235</v>
      </c>
      <c r="D91" s="42">
        <v>1</v>
      </c>
      <c r="E91" s="43">
        <v>160</v>
      </c>
    </row>
    <row r="92" spans="2:6" ht="20.100000000000001" customHeight="1" x14ac:dyDescent="0.3">
      <c r="B92" s="72"/>
      <c r="C92" s="41" t="s">
        <v>216</v>
      </c>
      <c r="D92" s="42">
        <v>180</v>
      </c>
      <c r="E92" s="43">
        <f>D92*'Referencias de Custos'!$D$2</f>
        <v>1050</v>
      </c>
      <c r="F92" s="41" t="s">
        <v>282</v>
      </c>
    </row>
    <row r="93" spans="2:6" ht="20.100000000000001" customHeight="1" x14ac:dyDescent="0.3">
      <c r="B93" s="72"/>
      <c r="C93" s="41" t="s">
        <v>256</v>
      </c>
      <c r="D93" s="42">
        <v>2</v>
      </c>
      <c r="E93" s="43">
        <f>D93*'Referencias de Custos'!$D$30</f>
        <v>70</v>
      </c>
      <c r="F93" s="41" t="s">
        <v>281</v>
      </c>
    </row>
    <row r="94" spans="2:6" ht="20.100000000000001" customHeight="1" x14ac:dyDescent="0.3">
      <c r="B94" s="72"/>
      <c r="D94" s="2"/>
      <c r="E94" s="3"/>
    </row>
    <row r="95" spans="2:6" ht="20.100000000000001" customHeight="1" x14ac:dyDescent="0.3">
      <c r="B95" s="72"/>
      <c r="C95" s="44" t="s">
        <v>265</v>
      </c>
      <c r="D95" s="45" t="s">
        <v>242</v>
      </c>
      <c r="E95" s="46">
        <f>SUM(E88:E93)</f>
        <v>1404.08</v>
      </c>
      <c r="F95" s="25"/>
    </row>
    <row r="96" spans="2:6" ht="20.100000000000001" customHeight="1" x14ac:dyDescent="0.3">
      <c r="B96" s="72"/>
      <c r="C96" s="35" t="s">
        <v>266</v>
      </c>
      <c r="D96" s="42" t="s">
        <v>242</v>
      </c>
      <c r="E96" s="43">
        <f>E95*$D$1</f>
        <v>280.81599999999997</v>
      </c>
    </row>
    <row r="97" spans="2:6" ht="20.100000000000001" customHeight="1" x14ac:dyDescent="0.3">
      <c r="B97" s="72"/>
      <c r="C97" s="44" t="s">
        <v>267</v>
      </c>
      <c r="D97" s="45" t="s">
        <v>242</v>
      </c>
      <c r="E97" s="46">
        <f>E96+E95</f>
        <v>1684.896</v>
      </c>
      <c r="F97" s="25"/>
    </row>
    <row r="98" spans="2:6" ht="20.100000000000001" customHeight="1" x14ac:dyDescent="0.3">
      <c r="B98" s="72"/>
      <c r="E98" s="3"/>
    </row>
    <row r="99" spans="2:6" ht="20.100000000000001" customHeight="1" x14ac:dyDescent="0.3">
      <c r="B99" s="72"/>
      <c r="C99" s="47" t="s">
        <v>268</v>
      </c>
      <c r="E99" s="3"/>
    </row>
    <row r="100" spans="2:6" ht="20.100000000000001" customHeight="1" x14ac:dyDescent="0.3">
      <c r="B100" s="72"/>
      <c r="C100" s="41" t="s">
        <v>243</v>
      </c>
      <c r="D100" s="48">
        <v>0.05</v>
      </c>
      <c r="E100" s="43">
        <f>E97*D100</f>
        <v>84.244799999999998</v>
      </c>
    </row>
    <row r="101" spans="2:6" ht="20.100000000000001" customHeight="1" x14ac:dyDescent="0.3">
      <c r="B101" s="72"/>
      <c r="C101" s="41" t="s">
        <v>245</v>
      </c>
      <c r="D101" s="48">
        <v>0.08</v>
      </c>
      <c r="E101" s="43">
        <f>(E100+E97)*D101</f>
        <v>141.53126399999999</v>
      </c>
    </row>
    <row r="102" spans="2:6" ht="20.100000000000001" customHeight="1" x14ac:dyDescent="0.3">
      <c r="B102" s="72"/>
      <c r="C102" s="44" t="s">
        <v>269</v>
      </c>
      <c r="D102" s="45" t="s">
        <v>242</v>
      </c>
      <c r="E102" s="46">
        <v>1910.67</v>
      </c>
      <c r="F102" s="25"/>
    </row>
    <row r="103" spans="2:6" ht="20.100000000000001" customHeight="1" x14ac:dyDescent="0.3">
      <c r="B103" s="72"/>
      <c r="C103" s="35" t="s">
        <v>270</v>
      </c>
      <c r="D103" s="48">
        <v>0.03</v>
      </c>
      <c r="E103" s="43">
        <f>-E102*D103</f>
        <v>-57.320100000000004</v>
      </c>
    </row>
    <row r="104" spans="2:6" ht="20.100000000000001" customHeight="1" x14ac:dyDescent="0.3">
      <c r="B104" s="72"/>
      <c r="C104" s="35" t="s">
        <v>271</v>
      </c>
      <c r="D104" s="42">
        <v>5</v>
      </c>
      <c r="E104" s="52">
        <f>E102/D104</f>
        <v>382.13400000000001</v>
      </c>
    </row>
    <row r="105" spans="2:6" ht="20.100000000000001" customHeight="1" x14ac:dyDescent="0.3">
      <c r="B105" s="72"/>
    </row>
    <row r="106" spans="2:6" ht="20.100000000000001" customHeight="1" x14ac:dyDescent="0.3">
      <c r="B106" s="72"/>
      <c r="C106" s="47" t="s">
        <v>272</v>
      </c>
      <c r="E106" s="3"/>
    </row>
    <row r="107" spans="2:6" ht="20.100000000000001" customHeight="1" x14ac:dyDescent="0.3">
      <c r="B107" s="72"/>
      <c r="C107" s="41" t="s">
        <v>243</v>
      </c>
      <c r="D107" s="48">
        <v>0.01</v>
      </c>
      <c r="E107" s="43">
        <f>E97*D107</f>
        <v>16.848959999999998</v>
      </c>
    </row>
    <row r="108" spans="2:6" ht="20.100000000000001" customHeight="1" x14ac:dyDescent="0.3">
      <c r="B108" s="72"/>
      <c r="C108" s="41" t="s">
        <v>245</v>
      </c>
      <c r="D108" s="48">
        <v>0.08</v>
      </c>
      <c r="E108" s="43">
        <f>(E107+E97)*D108</f>
        <v>136.13959679999999</v>
      </c>
    </row>
    <row r="109" spans="2:6" ht="20.100000000000001" customHeight="1" x14ac:dyDescent="0.3">
      <c r="B109" s="72"/>
      <c r="C109" s="44" t="s">
        <v>273</v>
      </c>
      <c r="D109" s="45" t="s">
        <v>242</v>
      </c>
      <c r="E109" s="46">
        <v>1837.88</v>
      </c>
      <c r="F109" s="25"/>
    </row>
    <row r="110" spans="2:6" ht="20.100000000000001" customHeight="1" x14ac:dyDescent="0.3">
      <c r="B110" s="72"/>
      <c r="C110" s="35" t="s">
        <v>274</v>
      </c>
      <c r="D110" s="48">
        <v>0</v>
      </c>
      <c r="E110" s="43">
        <f>-E109*D110</f>
        <v>0</v>
      </c>
    </row>
    <row r="111" spans="2:6" ht="20.100000000000001" customHeight="1" x14ac:dyDescent="0.3">
      <c r="B111" s="72"/>
      <c r="C111" s="12"/>
      <c r="D111" s="13"/>
      <c r="E111" s="5"/>
    </row>
    <row r="112" spans="2:6" ht="20.100000000000001" customHeight="1" x14ac:dyDescent="0.3">
      <c r="B112" s="72"/>
      <c r="C112" s="35" t="s">
        <v>275</v>
      </c>
      <c r="D112" s="49">
        <f>E112/E109</f>
        <v>-0.25794937645548127</v>
      </c>
      <c r="E112" s="43">
        <f>-(E88+E89+E90+350)</f>
        <v>-474.08</v>
      </c>
      <c r="F112" s="41" t="s">
        <v>283</v>
      </c>
    </row>
    <row r="113" spans="2:6" ht="20.100000000000001" customHeight="1" x14ac:dyDescent="0.3">
      <c r="B113" s="72"/>
      <c r="D113" s="2"/>
      <c r="E113" s="3"/>
    </row>
    <row r="114" spans="2:6" ht="20.100000000000001" customHeight="1" x14ac:dyDescent="0.3">
      <c r="B114" s="72"/>
      <c r="C114" s="50" t="s">
        <v>276</v>
      </c>
      <c r="D114" s="42" t="s">
        <v>279</v>
      </c>
      <c r="E114" s="3"/>
    </row>
    <row r="115" spans="2:6" ht="20.100000000000001" customHeight="1" x14ac:dyDescent="0.3">
      <c r="B115" s="72"/>
      <c r="C115" s="50" t="s">
        <v>284</v>
      </c>
      <c r="D115" s="47" t="s">
        <v>285</v>
      </c>
      <c r="E115" s="3"/>
    </row>
    <row r="116" spans="2:6" ht="20.100000000000001" customHeight="1" x14ac:dyDescent="0.25"/>
    <row r="117" spans="2:6" ht="20.100000000000001" customHeight="1" x14ac:dyDescent="0.3">
      <c r="B117" s="72"/>
      <c r="C117" s="37" t="s">
        <v>125</v>
      </c>
      <c r="D117" s="37"/>
      <c r="E117" s="38"/>
      <c r="F117" s="37"/>
    </row>
    <row r="118" spans="2:6" ht="20.100000000000001" customHeight="1" x14ac:dyDescent="0.3">
      <c r="B118" s="72"/>
      <c r="C118" s="39" t="s">
        <v>167</v>
      </c>
      <c r="D118" s="39" t="s">
        <v>263</v>
      </c>
      <c r="E118" s="40" t="s">
        <v>213</v>
      </c>
      <c r="F118" s="40" t="s">
        <v>264</v>
      </c>
    </row>
    <row r="119" spans="2:6" ht="20.100000000000001" customHeight="1" x14ac:dyDescent="0.3">
      <c r="B119" s="72"/>
      <c r="C119" s="41" t="s">
        <v>260</v>
      </c>
      <c r="D119" s="42">
        <v>1</v>
      </c>
      <c r="E119" s="43">
        <v>80</v>
      </c>
      <c r="F119" s="6"/>
    </row>
    <row r="120" spans="2:6" ht="20.100000000000001" customHeight="1" x14ac:dyDescent="0.3">
      <c r="B120" s="72"/>
      <c r="C120" s="41" t="s">
        <v>258</v>
      </c>
      <c r="D120" s="42">
        <v>1</v>
      </c>
      <c r="E120" s="43">
        <v>29.08</v>
      </c>
      <c r="F120" s="6"/>
    </row>
    <row r="121" spans="2:6" ht="20.100000000000001" customHeight="1" x14ac:dyDescent="0.3">
      <c r="B121" s="72"/>
      <c r="C121" s="41" t="s">
        <v>220</v>
      </c>
      <c r="D121" s="42">
        <v>1</v>
      </c>
      <c r="E121" s="43">
        <v>15</v>
      </c>
    </row>
    <row r="122" spans="2:6" ht="20.100000000000001" customHeight="1" x14ac:dyDescent="0.3">
      <c r="B122" s="72"/>
      <c r="C122" s="41" t="s">
        <v>222</v>
      </c>
      <c r="D122" s="42">
        <v>1</v>
      </c>
      <c r="E122" s="43">
        <v>15</v>
      </c>
    </row>
    <row r="123" spans="2:6" ht="20.100000000000001" customHeight="1" x14ac:dyDescent="0.3">
      <c r="B123" s="72"/>
      <c r="C123" s="41" t="s">
        <v>254</v>
      </c>
      <c r="D123" s="42">
        <v>1</v>
      </c>
      <c r="E123" s="43">
        <f>'Referencias de Custos'!D29</f>
        <v>200</v>
      </c>
    </row>
    <row r="124" spans="2:6" ht="20.100000000000001" customHeight="1" x14ac:dyDescent="0.3">
      <c r="B124" s="72"/>
      <c r="C124" s="41" t="s">
        <v>216</v>
      </c>
      <c r="D124" s="42">
        <v>1380</v>
      </c>
      <c r="E124" s="43">
        <f>D124*'Referencias de Custos'!$D$2</f>
        <v>8050</v>
      </c>
      <c r="F124" s="41" t="s">
        <v>286</v>
      </c>
    </row>
    <row r="125" spans="2:6" ht="20.100000000000001" customHeight="1" x14ac:dyDescent="0.3">
      <c r="B125" s="72"/>
      <c r="C125" s="41" t="s">
        <v>256</v>
      </c>
      <c r="D125" s="42">
        <v>2</v>
      </c>
      <c r="E125" s="43">
        <f>D125*'Referencias de Custos'!$D$30</f>
        <v>70</v>
      </c>
      <c r="F125" s="41" t="s">
        <v>281</v>
      </c>
    </row>
    <row r="126" spans="2:6" ht="20.100000000000001" customHeight="1" x14ac:dyDescent="0.3">
      <c r="B126" s="72"/>
      <c r="C126" s="44" t="s">
        <v>265</v>
      </c>
      <c r="D126" s="45" t="s">
        <v>242</v>
      </c>
      <c r="E126" s="46">
        <f>SUM(E119:E125)</f>
        <v>8459.08</v>
      </c>
      <c r="F126" s="25"/>
    </row>
    <row r="127" spans="2:6" ht="20.100000000000001" customHeight="1" x14ac:dyDescent="0.3">
      <c r="B127" s="72"/>
      <c r="C127" s="35" t="s">
        <v>266</v>
      </c>
      <c r="D127" s="42" t="s">
        <v>242</v>
      </c>
      <c r="E127" s="43">
        <f>E126*$D$1</f>
        <v>1691.816</v>
      </c>
    </row>
    <row r="128" spans="2:6" ht="20.100000000000001" customHeight="1" x14ac:dyDescent="0.3">
      <c r="B128" s="72"/>
      <c r="C128" s="44" t="s">
        <v>267</v>
      </c>
      <c r="D128" s="45" t="s">
        <v>242</v>
      </c>
      <c r="E128" s="46">
        <f>E127+E126</f>
        <v>10150.896000000001</v>
      </c>
      <c r="F128" s="25"/>
    </row>
    <row r="129" spans="2:6" ht="20.100000000000001" customHeight="1" x14ac:dyDescent="0.3">
      <c r="B129" s="72"/>
      <c r="E129" s="3"/>
    </row>
    <row r="130" spans="2:6" ht="20.100000000000001" customHeight="1" x14ac:dyDescent="0.3">
      <c r="B130" s="72"/>
      <c r="C130" s="47" t="s">
        <v>268</v>
      </c>
      <c r="E130" s="3"/>
    </row>
    <row r="131" spans="2:6" ht="20.100000000000001" customHeight="1" x14ac:dyDescent="0.3">
      <c r="B131" s="72"/>
      <c r="C131" s="41" t="s">
        <v>243</v>
      </c>
      <c r="D131" s="48">
        <v>0.05</v>
      </c>
      <c r="E131" s="43">
        <f>E128*D131</f>
        <v>507.54480000000007</v>
      </c>
    </row>
    <row r="132" spans="2:6" ht="20.100000000000001" customHeight="1" x14ac:dyDescent="0.3">
      <c r="B132" s="72"/>
      <c r="C132" s="41" t="s">
        <v>245</v>
      </c>
      <c r="D132" s="48">
        <v>0.08</v>
      </c>
      <c r="E132" s="43">
        <f>(E131+E128)*D132</f>
        <v>852.67526400000008</v>
      </c>
    </row>
    <row r="133" spans="2:6" ht="20.100000000000001" customHeight="1" x14ac:dyDescent="0.3">
      <c r="B133" s="72"/>
      <c r="C133" s="44" t="s">
        <v>269</v>
      </c>
      <c r="D133" s="45" t="s">
        <v>242</v>
      </c>
      <c r="E133" s="46">
        <v>11511.12</v>
      </c>
      <c r="F133" s="25"/>
    </row>
    <row r="134" spans="2:6" ht="20.100000000000001" customHeight="1" x14ac:dyDescent="0.3">
      <c r="B134" s="72"/>
      <c r="C134" s="35" t="s">
        <v>270</v>
      </c>
      <c r="D134" s="48">
        <v>0.03</v>
      </c>
      <c r="E134" s="43">
        <f>-E133*D134</f>
        <v>-345.33359999999999</v>
      </c>
    </row>
    <row r="135" spans="2:6" ht="20.100000000000001" customHeight="1" x14ac:dyDescent="0.3">
      <c r="B135" s="72"/>
      <c r="C135" s="35" t="s">
        <v>271</v>
      </c>
      <c r="D135" s="42">
        <v>12</v>
      </c>
      <c r="E135" s="52">
        <f>E133/D135</f>
        <v>959.2600000000001</v>
      </c>
    </row>
    <row r="136" spans="2:6" ht="20.100000000000001" customHeight="1" x14ac:dyDescent="0.3">
      <c r="B136" s="72"/>
    </row>
    <row r="137" spans="2:6" ht="20.100000000000001" customHeight="1" x14ac:dyDescent="0.3">
      <c r="B137" s="72"/>
      <c r="C137" s="47" t="s">
        <v>272</v>
      </c>
      <c r="E137" s="3"/>
    </row>
    <row r="138" spans="2:6" ht="20.100000000000001" customHeight="1" x14ac:dyDescent="0.3">
      <c r="B138" s="72"/>
      <c r="C138" s="41" t="s">
        <v>243</v>
      </c>
      <c r="D138" s="48">
        <v>0.01</v>
      </c>
      <c r="E138" s="43">
        <f>E128*D138</f>
        <v>101.50896</v>
      </c>
    </row>
    <row r="139" spans="2:6" ht="20.100000000000001" customHeight="1" x14ac:dyDescent="0.3">
      <c r="B139" s="72"/>
      <c r="C139" s="41" t="s">
        <v>245</v>
      </c>
      <c r="D139" s="48">
        <v>0.08</v>
      </c>
      <c r="E139" s="43">
        <f>(E138+E128)*D139</f>
        <v>820.19239679999998</v>
      </c>
    </row>
    <row r="140" spans="2:6" ht="20.100000000000001" customHeight="1" x14ac:dyDescent="0.3">
      <c r="B140" s="72"/>
      <c r="C140" s="44" t="s">
        <v>273</v>
      </c>
      <c r="D140" s="45" t="s">
        <v>242</v>
      </c>
      <c r="E140" s="46">
        <v>11072.6</v>
      </c>
      <c r="F140" s="25"/>
    </row>
    <row r="141" spans="2:6" ht="20.100000000000001" customHeight="1" x14ac:dyDescent="0.3">
      <c r="B141" s="72"/>
      <c r="C141" s="35" t="s">
        <v>274</v>
      </c>
      <c r="D141" s="48">
        <v>0</v>
      </c>
      <c r="E141" s="43">
        <f>-E140*D141</f>
        <v>0</v>
      </c>
    </row>
    <row r="142" spans="2:6" ht="20.100000000000001" customHeight="1" x14ac:dyDescent="0.3">
      <c r="B142" s="72"/>
      <c r="C142" s="12"/>
      <c r="D142" s="13"/>
      <c r="E142" s="5"/>
    </row>
    <row r="143" spans="2:6" ht="20.100000000000001" customHeight="1" x14ac:dyDescent="0.3">
      <c r="B143" s="72"/>
      <c r="C143" s="35" t="s">
        <v>275</v>
      </c>
      <c r="D143" s="49">
        <f>E143/E140</f>
        <v>-4.2815598865668401E-2</v>
      </c>
      <c r="E143" s="43">
        <f>-(E119+E120+E121+350)</f>
        <v>-474.08</v>
      </c>
      <c r="F143" s="41" t="s">
        <v>287</v>
      </c>
    </row>
    <row r="144" spans="2:6" ht="20.100000000000001" customHeight="1" x14ac:dyDescent="0.3">
      <c r="B144" s="72"/>
      <c r="D144" s="2"/>
      <c r="E144" s="3"/>
    </row>
    <row r="145" spans="2:6" ht="20.100000000000001" customHeight="1" x14ac:dyDescent="0.3">
      <c r="B145" s="72"/>
      <c r="C145" s="50" t="s">
        <v>276</v>
      </c>
      <c r="D145" s="42" t="s">
        <v>279</v>
      </c>
      <c r="E145" s="3"/>
    </row>
    <row r="146" spans="2:6" ht="20.100000000000001" customHeight="1" x14ac:dyDescent="0.3">
      <c r="B146" s="72"/>
      <c r="C146" s="50" t="s">
        <v>284</v>
      </c>
      <c r="D146" s="47" t="s">
        <v>288</v>
      </c>
      <c r="E146" s="3"/>
    </row>
    <row r="147" spans="2:6" ht="20.100000000000001" customHeight="1" x14ac:dyDescent="0.25"/>
    <row r="148" spans="2:6" ht="20.100000000000001" customHeight="1" thickBot="1" x14ac:dyDescent="0.35">
      <c r="B148" s="72"/>
      <c r="C148" s="37" t="s">
        <v>289</v>
      </c>
      <c r="D148" s="37"/>
      <c r="E148" s="38"/>
      <c r="F148" s="37"/>
    </row>
    <row r="149" spans="2:6" ht="20.100000000000001" customHeight="1" x14ac:dyDescent="0.3">
      <c r="B149" s="72"/>
      <c r="C149" s="65" t="s">
        <v>167</v>
      </c>
      <c r="D149" s="39" t="s">
        <v>263</v>
      </c>
      <c r="E149" s="40" t="s">
        <v>213</v>
      </c>
      <c r="F149" s="40" t="s">
        <v>264</v>
      </c>
    </row>
    <row r="150" spans="2:6" ht="20.100000000000001" customHeight="1" x14ac:dyDescent="0.3">
      <c r="B150" s="72"/>
      <c r="C150" s="66" t="s">
        <v>260</v>
      </c>
      <c r="D150" s="42">
        <v>1</v>
      </c>
      <c r="E150" s="43">
        <v>80</v>
      </c>
      <c r="F150" s="6"/>
    </row>
    <row r="151" spans="2:6" ht="20.100000000000001" customHeight="1" x14ac:dyDescent="0.3">
      <c r="B151" s="72"/>
      <c r="C151" s="66" t="s">
        <v>258</v>
      </c>
      <c r="D151" s="42">
        <v>1</v>
      </c>
      <c r="E151" s="43">
        <v>29.08</v>
      </c>
      <c r="F151" s="6"/>
    </row>
    <row r="152" spans="2:6" ht="20.100000000000001" customHeight="1" x14ac:dyDescent="0.3">
      <c r="B152" s="72"/>
      <c r="C152" s="66" t="s">
        <v>220</v>
      </c>
      <c r="D152" s="42">
        <v>1</v>
      </c>
      <c r="E152" s="43">
        <v>15</v>
      </c>
    </row>
    <row r="153" spans="2:6" ht="20.100000000000001" customHeight="1" x14ac:dyDescent="0.3">
      <c r="B153" s="72"/>
      <c r="C153" s="66" t="s">
        <v>290</v>
      </c>
      <c r="D153" s="42">
        <v>1</v>
      </c>
      <c r="E153" s="43">
        <v>250</v>
      </c>
    </row>
    <row r="154" spans="2:6" ht="20.100000000000001" customHeight="1" x14ac:dyDescent="0.3">
      <c r="B154" s="72"/>
      <c r="C154" s="66" t="s">
        <v>231</v>
      </c>
      <c r="D154" s="42">
        <v>1</v>
      </c>
      <c r="E154" s="43">
        <v>160</v>
      </c>
    </row>
    <row r="155" spans="2:6" ht="20.100000000000001" customHeight="1" x14ac:dyDescent="0.3">
      <c r="B155" s="72"/>
      <c r="C155" s="66" t="s">
        <v>216</v>
      </c>
      <c r="D155" s="42">
        <v>1020</v>
      </c>
      <c r="E155" s="43">
        <f>D155*'Referencias de Custos'!$D$2</f>
        <v>5950</v>
      </c>
      <c r="F155" s="41" t="s">
        <v>291</v>
      </c>
    </row>
    <row r="156" spans="2:6" ht="20.100000000000001" customHeight="1" thickBot="1" x14ac:dyDescent="0.35">
      <c r="B156" s="72"/>
      <c r="C156" s="67" t="s">
        <v>265</v>
      </c>
      <c r="D156" s="45" t="s">
        <v>242</v>
      </c>
      <c r="E156" s="46">
        <f>SUM(E150:E155)</f>
        <v>6484.08</v>
      </c>
      <c r="F156" s="25"/>
    </row>
    <row r="157" spans="2:6" ht="20.100000000000001" customHeight="1" thickTop="1" x14ac:dyDescent="0.3">
      <c r="B157" s="72"/>
      <c r="C157" s="68" t="s">
        <v>266</v>
      </c>
      <c r="D157" s="42" t="s">
        <v>242</v>
      </c>
      <c r="E157" s="43">
        <f>E156*$D$1</f>
        <v>1296.816</v>
      </c>
    </row>
    <row r="158" spans="2:6" ht="20.100000000000001" customHeight="1" thickBot="1" x14ac:dyDescent="0.35">
      <c r="B158" s="72"/>
      <c r="C158" s="67" t="s">
        <v>267</v>
      </c>
      <c r="D158" s="45" t="s">
        <v>242</v>
      </c>
      <c r="E158" s="46">
        <f>E157+E156</f>
        <v>7780.8959999999997</v>
      </c>
      <c r="F158" s="25"/>
    </row>
    <row r="159" spans="2:6" ht="20.100000000000001" customHeight="1" thickTop="1" x14ac:dyDescent="0.3">
      <c r="B159" s="72"/>
      <c r="C159" s="69" t="s">
        <v>268</v>
      </c>
      <c r="E159" s="3"/>
    </row>
    <row r="160" spans="2:6" ht="20.100000000000001" customHeight="1" x14ac:dyDescent="0.3">
      <c r="B160" s="72"/>
      <c r="C160" s="66" t="s">
        <v>243</v>
      </c>
      <c r="D160" s="48">
        <v>0.05</v>
      </c>
      <c r="E160" s="43">
        <f>E158*D160</f>
        <v>389.04480000000001</v>
      </c>
    </row>
    <row r="161" spans="2:6" ht="20.100000000000001" customHeight="1" x14ac:dyDescent="0.3">
      <c r="B161" s="72"/>
      <c r="C161" s="66" t="s">
        <v>245</v>
      </c>
      <c r="D161" s="48">
        <v>0.08</v>
      </c>
      <c r="E161" s="43">
        <f>(E160+E158)*D161</f>
        <v>653.59526399999993</v>
      </c>
    </row>
    <row r="162" spans="2:6" ht="20.100000000000001" customHeight="1" thickBot="1" x14ac:dyDescent="0.35">
      <c r="B162" s="72"/>
      <c r="C162" s="67" t="s">
        <v>269</v>
      </c>
      <c r="D162" s="45" t="s">
        <v>242</v>
      </c>
      <c r="E162" s="46">
        <v>8823.5400000000009</v>
      </c>
      <c r="F162" s="25"/>
    </row>
    <row r="163" spans="2:6" ht="20.100000000000001" customHeight="1" thickTop="1" x14ac:dyDescent="0.3">
      <c r="B163" s="72"/>
      <c r="C163" s="68" t="s">
        <v>270</v>
      </c>
      <c r="D163" s="48">
        <v>0.03</v>
      </c>
      <c r="E163" s="43">
        <f>-E162*D163</f>
        <v>-264.70620000000002</v>
      </c>
    </row>
    <row r="164" spans="2:6" ht="20.100000000000001" customHeight="1" x14ac:dyDescent="0.3">
      <c r="B164" s="72"/>
      <c r="C164" s="68" t="s">
        <v>271</v>
      </c>
      <c r="D164" s="42">
        <v>12</v>
      </c>
      <c r="E164" s="52">
        <f>E162/D164</f>
        <v>735.29500000000007</v>
      </c>
    </row>
    <row r="165" spans="2:6" ht="20.100000000000001" customHeight="1" x14ac:dyDescent="0.3">
      <c r="B165" s="72"/>
      <c r="C165" s="70"/>
    </row>
    <row r="166" spans="2:6" ht="20.100000000000001" customHeight="1" x14ac:dyDescent="0.3">
      <c r="B166" s="72"/>
      <c r="C166" s="69" t="s">
        <v>272</v>
      </c>
      <c r="E166" s="3"/>
    </row>
    <row r="167" spans="2:6" ht="20.100000000000001" customHeight="1" x14ac:dyDescent="0.3">
      <c r="B167" s="72"/>
      <c r="C167" s="66" t="s">
        <v>243</v>
      </c>
      <c r="D167" s="48">
        <v>0.01</v>
      </c>
      <c r="E167" s="43">
        <f>E158*D167</f>
        <v>77.808959999999999</v>
      </c>
    </row>
    <row r="168" spans="2:6" ht="20.100000000000001" customHeight="1" x14ac:dyDescent="0.3">
      <c r="B168" s="72"/>
      <c r="C168" s="66" t="s">
        <v>245</v>
      </c>
      <c r="D168" s="48">
        <v>0.08</v>
      </c>
      <c r="E168" s="43">
        <f>(E167+E158)*D168</f>
        <v>628.6963968</v>
      </c>
    </row>
    <row r="169" spans="2:6" ht="20.100000000000001" customHeight="1" thickBot="1" x14ac:dyDescent="0.35">
      <c r="B169" s="72"/>
      <c r="C169" s="67" t="s">
        <v>273</v>
      </c>
      <c r="D169" s="45" t="s">
        <v>242</v>
      </c>
      <c r="E169" s="46">
        <v>8487.4</v>
      </c>
      <c r="F169" s="25"/>
    </row>
    <row r="170" spans="2:6" ht="20.100000000000001" customHeight="1" thickTop="1" x14ac:dyDescent="0.3">
      <c r="B170" s="72"/>
      <c r="C170" s="68" t="s">
        <v>274</v>
      </c>
      <c r="D170" s="48">
        <v>0</v>
      </c>
      <c r="E170" s="43">
        <f>-E169*D170</f>
        <v>0</v>
      </c>
    </row>
    <row r="171" spans="2:6" ht="20.100000000000001" customHeight="1" x14ac:dyDescent="0.3">
      <c r="B171" s="72"/>
      <c r="C171" s="71"/>
      <c r="D171" s="13"/>
      <c r="E171" s="5"/>
    </row>
    <row r="172" spans="2:6" ht="20.100000000000001" customHeight="1" x14ac:dyDescent="0.3">
      <c r="B172" s="72"/>
      <c r="C172" s="68" t="s">
        <v>292</v>
      </c>
      <c r="D172" s="49">
        <f>E172/E169</f>
        <v>-5.5856917312722389E-2</v>
      </c>
      <c r="E172" s="43">
        <f>-(E150+E151+E152+350)</f>
        <v>-474.08</v>
      </c>
    </row>
    <row r="173" spans="2:6" ht="20.100000000000001" customHeight="1" x14ac:dyDescent="0.3">
      <c r="B173" s="72"/>
      <c r="C173" s="68" t="s">
        <v>293</v>
      </c>
      <c r="D173" s="49">
        <f>E173/E158</f>
        <v>-0.15603344396326593</v>
      </c>
      <c r="E173" s="43">
        <f>-(E65)</f>
        <v>-1214.08</v>
      </c>
      <c r="F173" s="41" t="s">
        <v>283</v>
      </c>
    </row>
    <row r="174" spans="2:6" ht="20.100000000000001" customHeight="1" x14ac:dyDescent="0.25"/>
    <row r="175" spans="2:6" ht="20.100000000000001" customHeight="1" x14ac:dyDescent="0.25"/>
    <row r="176" spans="2: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spans="3:4" ht="20.100000000000001" customHeight="1" x14ac:dyDescent="0.25"/>
    <row r="194" spans="3:4" ht="20.100000000000001" customHeight="1" x14ac:dyDescent="0.25"/>
    <row r="195" spans="3:4" ht="20.100000000000001" customHeight="1" x14ac:dyDescent="0.25"/>
    <row r="196" spans="3:4" ht="20.100000000000001" customHeight="1" x14ac:dyDescent="0.25"/>
    <row r="197" spans="3:4" ht="20.100000000000001" customHeight="1" x14ac:dyDescent="0.25"/>
    <row r="198" spans="3:4" ht="20.100000000000001" customHeight="1" x14ac:dyDescent="0.25"/>
    <row r="199" spans="3:4" ht="20.100000000000001" customHeight="1" x14ac:dyDescent="0.3">
      <c r="C199" s="50" t="s">
        <v>276</v>
      </c>
      <c r="D199" s="42" t="s">
        <v>279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129"/>
  <sheetViews>
    <sheetView topLeftCell="A16" zoomScale="85" zoomScaleNormal="85" workbookViewId="0">
      <selection activeCell="C119" sqref="C119"/>
    </sheetView>
  </sheetViews>
  <sheetFormatPr defaultRowHeight="15.75" x14ac:dyDescent="0.25"/>
  <cols>
    <col min="1" max="1" width="12" customWidth="1"/>
    <col min="2" max="2" width="70" customWidth="1"/>
    <col min="3" max="3" width="38.375" customWidth="1"/>
    <col min="4" max="4" width="23.125" customWidth="1"/>
    <col min="5" max="5" width="21" customWidth="1"/>
    <col min="6" max="6" width="79" customWidth="1"/>
    <col min="7" max="7" width="24" customWidth="1"/>
    <col min="8" max="8" width="28" customWidth="1"/>
    <col min="9" max="9" width="25" customWidth="1"/>
    <col min="10" max="10" width="29" customWidth="1"/>
  </cols>
  <sheetData>
    <row r="1" spans="2:10" ht="20.100000000000001" customHeight="1" x14ac:dyDescent="0.25"/>
    <row r="2" spans="2:10" ht="20.100000000000001" customHeight="1" x14ac:dyDescent="0.45">
      <c r="D2" s="62" t="s">
        <v>226</v>
      </c>
    </row>
    <row r="3" spans="2:10" ht="20.100000000000001" customHeight="1" x14ac:dyDescent="0.3">
      <c r="D3" s="63" t="s">
        <v>294</v>
      </c>
    </row>
    <row r="4" spans="2:10" ht="20.100000000000001" customHeight="1" x14ac:dyDescent="0.25"/>
    <row r="5" spans="2:10" ht="20.100000000000001" customHeight="1" x14ac:dyDescent="0.25"/>
    <row r="6" spans="2:10" ht="20.100000000000001" customHeight="1" x14ac:dyDescent="0.3">
      <c r="B6" s="64" t="s">
        <v>295</v>
      </c>
    </row>
    <row r="7" spans="2:10" ht="27.95" customHeight="1" x14ac:dyDescent="0.25">
      <c r="B7" s="14" t="s">
        <v>296</v>
      </c>
      <c r="C7" s="14" t="s">
        <v>297</v>
      </c>
      <c r="D7" s="14" t="s">
        <v>298</v>
      </c>
      <c r="E7" s="14" t="s">
        <v>299</v>
      </c>
      <c r="F7" s="14" t="s">
        <v>300</v>
      </c>
      <c r="G7" s="14" t="s">
        <v>301</v>
      </c>
      <c r="H7" s="14" t="s">
        <v>302</v>
      </c>
      <c r="I7" s="14" t="s">
        <v>303</v>
      </c>
      <c r="J7" s="14" t="s">
        <v>304</v>
      </c>
    </row>
    <row r="8" spans="2:10" ht="20.100000000000001" customHeight="1" x14ac:dyDescent="0.25">
      <c r="B8" s="53" t="s">
        <v>305</v>
      </c>
      <c r="C8" s="18" t="s">
        <v>25</v>
      </c>
      <c r="D8" s="24">
        <f>E22</f>
        <v>684.08232999999996</v>
      </c>
      <c r="E8" s="24">
        <f>E23</f>
        <v>136.81646599999999</v>
      </c>
      <c r="F8" s="24">
        <v>930.9</v>
      </c>
      <c r="G8" s="24">
        <v>895.44</v>
      </c>
      <c r="H8" s="24">
        <f>'Custo de Serviços'!$E$41</f>
        <v>930.9</v>
      </c>
      <c r="I8" s="24">
        <f>'Custo de Serviços'!$E$48</f>
        <v>895.43</v>
      </c>
      <c r="J8" s="24">
        <f>I8-G8</f>
        <v>-1.0000000000104592E-2</v>
      </c>
    </row>
    <row r="9" spans="2:10" ht="20.100000000000001" customHeight="1" x14ac:dyDescent="0.25">
      <c r="B9" s="54" t="s">
        <v>306</v>
      </c>
      <c r="C9" s="15" t="s">
        <v>307</v>
      </c>
      <c r="D9" s="16">
        <f>E43</f>
        <v>1789.08233</v>
      </c>
      <c r="E9" s="16">
        <f>E44</f>
        <v>357.81646599999999</v>
      </c>
      <c r="F9" s="16">
        <v>2434.58</v>
      </c>
      <c r="G9" s="16">
        <v>2341.84</v>
      </c>
      <c r="H9" s="16">
        <f>'Custo de Serviços'!$E$41 + 'Custo de Serviços'!$E$72</f>
        <v>2583.02</v>
      </c>
      <c r="I9" s="16">
        <f>'Custo de Serviços'!$E$48 + 'Custo de Serviços'!$E$79</f>
        <v>2484.61</v>
      </c>
      <c r="J9" s="16">
        <f>I9-G9</f>
        <v>142.76999999999998</v>
      </c>
    </row>
    <row r="10" spans="2:10" ht="20.100000000000001" customHeight="1" x14ac:dyDescent="0.25">
      <c r="B10" s="53" t="s">
        <v>308</v>
      </c>
      <c r="C10" s="18" t="s">
        <v>309</v>
      </c>
      <c r="D10" s="24">
        <f>E66</f>
        <v>2999.0823300000002</v>
      </c>
      <c r="E10" s="24">
        <f>E67</f>
        <v>599.8164660000001</v>
      </c>
      <c r="F10" s="24">
        <v>4081.15</v>
      </c>
      <c r="G10" s="24">
        <v>3925.68</v>
      </c>
      <c r="H10" s="24">
        <f>'Custo de Serviços'!$E$41 + 'Custo de Serviços'!$E$72 + 'Custo de Serviços'!$E$102</f>
        <v>4493.6900000000005</v>
      </c>
      <c r="I10" s="24">
        <f>'Custo de Serviços'!$E$48 + 'Custo de Serviços'!$E$79 + 'Custo de Serviços'!$E$109</f>
        <v>4322.49</v>
      </c>
      <c r="J10" s="24">
        <f>I10-G10</f>
        <v>396.80999999999995</v>
      </c>
    </row>
    <row r="11" spans="2:10" ht="20.100000000000001" customHeight="1" x14ac:dyDescent="0.25">
      <c r="B11" s="54" t="s">
        <v>310</v>
      </c>
      <c r="C11" s="15" t="s">
        <v>311</v>
      </c>
      <c r="D11" s="16">
        <f>E91</f>
        <v>11264.082329999999</v>
      </c>
      <c r="E11" s="16">
        <f>E92</f>
        <v>2252.8164659999998</v>
      </c>
      <c r="F11" s="16">
        <v>15328.16</v>
      </c>
      <c r="G11" s="16">
        <v>14744.23</v>
      </c>
      <c r="H11" s="16">
        <f>'Custo de Serviços'!$E$41 + 'Custo de Serviços'!$E$72 + 'Custo de Serviços'!$E$102 + 'Custo de Serviços'!$E$133</f>
        <v>16004.810000000001</v>
      </c>
      <c r="I11" s="16">
        <f>'Custo de Serviços'!$E$48 + 'Custo de Serviços'!$E$79 + 'Custo de Serviços'!$E$109 + 'Custo de Serviços'!$E$140</f>
        <v>15395.09</v>
      </c>
      <c r="J11" s="16">
        <f>I11-G11</f>
        <v>650.86000000000058</v>
      </c>
    </row>
    <row r="12" spans="2:10" ht="20.100000000000001" customHeight="1" x14ac:dyDescent="0.25">
      <c r="B12" s="55" t="s">
        <v>312</v>
      </c>
      <c r="C12" s="55" t="s">
        <v>310</v>
      </c>
      <c r="D12" s="56">
        <f>E116</f>
        <v>17464.082330000001</v>
      </c>
      <c r="E12" s="56">
        <f>E117</f>
        <v>3492.8164660000002</v>
      </c>
      <c r="F12" s="56">
        <v>23765.119999999999</v>
      </c>
      <c r="G12" s="56">
        <v>22859.79</v>
      </c>
      <c r="H12" s="56">
        <f>'Custo de Serviços'!$E$41 + 'Custo de Serviços'!$E$72 + 'Custo de Serviços'!$E$102 + 'Custo de Serviços'!$E$133 + 'Custo de Serviços'!$E$162</f>
        <v>24828.350000000002</v>
      </c>
      <c r="I12" s="56">
        <f>'Custo de Serviços'!$E$48 + 'Custo de Serviços'!$E$79 + 'Custo de Serviços'!$E$109 + 'Custo de Serviços'!$E$140 + 'Custo de Serviços'!$E$169</f>
        <v>23882.489999999998</v>
      </c>
      <c r="J12" s="56">
        <f>I12-G12</f>
        <v>1022.6999999999971</v>
      </c>
    </row>
    <row r="13" spans="2:10" ht="20.100000000000001" customHeight="1" x14ac:dyDescent="0.25"/>
    <row r="14" spans="2:10" ht="20.100000000000001" customHeight="1" x14ac:dyDescent="0.3">
      <c r="B14" s="64" t="s">
        <v>313</v>
      </c>
    </row>
    <row r="15" spans="2:10" ht="20.100000000000001" customHeight="1" x14ac:dyDescent="0.25"/>
    <row r="16" spans="2:10" ht="20.100000000000001" customHeight="1" x14ac:dyDescent="0.3">
      <c r="B16" s="105" t="s">
        <v>314</v>
      </c>
      <c r="C16" s="106"/>
      <c r="D16" s="106"/>
      <c r="E16" s="106"/>
      <c r="F16" s="106"/>
    </row>
    <row r="17" spans="2:6" ht="27.95" customHeight="1" x14ac:dyDescent="0.25">
      <c r="B17" s="61" t="s">
        <v>315</v>
      </c>
      <c r="C17" s="61" t="s">
        <v>263</v>
      </c>
      <c r="D17" s="61" t="s">
        <v>316</v>
      </c>
      <c r="E17" s="61" t="s">
        <v>317</v>
      </c>
      <c r="F17" s="61" t="s">
        <v>318</v>
      </c>
    </row>
    <row r="18" spans="2:6" ht="20.100000000000001" customHeight="1" x14ac:dyDescent="0.3">
      <c r="B18" s="18" t="s">
        <v>260</v>
      </c>
      <c r="C18" s="57">
        <v>1</v>
      </c>
      <c r="D18" s="58">
        <f>'Referencias de Custos'!$D$34</f>
        <v>80</v>
      </c>
      <c r="E18" s="58">
        <f>C18*D18</f>
        <v>80</v>
      </c>
      <c r="F18" s="18" t="s">
        <v>319</v>
      </c>
    </row>
    <row r="19" spans="2:6" ht="20.100000000000001" customHeight="1" x14ac:dyDescent="0.3">
      <c r="B19" s="18" t="s">
        <v>258</v>
      </c>
      <c r="C19" s="57">
        <v>1</v>
      </c>
      <c r="D19" s="58">
        <f>'Referencias de Custos'!$D$32</f>
        <v>29.082330000000002</v>
      </c>
      <c r="E19" s="58">
        <f>C19*D19</f>
        <v>29.082330000000002</v>
      </c>
      <c r="F19" s="18" t="s">
        <v>320</v>
      </c>
    </row>
    <row r="20" spans="2:6" ht="20.100000000000001" customHeight="1" x14ac:dyDescent="0.3">
      <c r="B20" s="18" t="s">
        <v>257</v>
      </c>
      <c r="C20" s="57">
        <v>1</v>
      </c>
      <c r="D20" s="58">
        <f>'Referencias de Custos'!D31</f>
        <v>50</v>
      </c>
      <c r="E20" s="58">
        <f>C20*D20</f>
        <v>50</v>
      </c>
      <c r="F20" s="73" t="s">
        <v>252</v>
      </c>
    </row>
    <row r="21" spans="2:6" ht="20.100000000000001" customHeight="1" x14ac:dyDescent="0.3">
      <c r="B21" s="18" t="s">
        <v>321</v>
      </c>
      <c r="C21" s="57">
        <v>90</v>
      </c>
      <c r="D21" s="58">
        <f>'Referencias de Custos'!$D$2</f>
        <v>5.833333333333333</v>
      </c>
      <c r="E21" s="58">
        <f>C21*D21</f>
        <v>525</v>
      </c>
      <c r="F21" s="18" t="s">
        <v>322</v>
      </c>
    </row>
    <row r="22" spans="2:6" ht="20.100000000000001" customHeight="1" x14ac:dyDescent="0.3">
      <c r="B22" s="59" t="s">
        <v>323</v>
      </c>
      <c r="C22" s="59"/>
      <c r="D22" s="59"/>
      <c r="E22" s="60">
        <f>SUM(E18:E21)</f>
        <v>684.08232999999996</v>
      </c>
      <c r="F22" s="59"/>
    </row>
    <row r="23" spans="2:6" ht="20.100000000000001" customHeight="1" x14ac:dyDescent="0.3">
      <c r="B23" s="41" t="s">
        <v>324</v>
      </c>
      <c r="C23" s="41"/>
      <c r="D23" s="41"/>
      <c r="E23" s="58">
        <f>E22*'Custo de Serviços'!$D$1</f>
        <v>136.81646599999999</v>
      </c>
      <c r="F23" s="41"/>
    </row>
    <row r="24" spans="2:6" ht="20.100000000000001" customHeight="1" x14ac:dyDescent="0.3">
      <c r="B24" s="59" t="s">
        <v>325</v>
      </c>
      <c r="C24" s="59"/>
      <c r="D24" s="59"/>
      <c r="E24" s="60">
        <f>E22+E23</f>
        <v>820.89879599999995</v>
      </c>
      <c r="F24" s="59"/>
    </row>
    <row r="25" spans="2:6" ht="20.100000000000001" customHeight="1" x14ac:dyDescent="0.3">
      <c r="B25" s="41" t="s">
        <v>326</v>
      </c>
      <c r="C25" s="41"/>
      <c r="D25" s="41"/>
      <c r="E25" s="58">
        <f>E24*'Custo de Serviços'!$D$39</f>
        <v>41.044939800000002</v>
      </c>
      <c r="F25" s="41"/>
    </row>
    <row r="26" spans="2:6" ht="20.100000000000001" customHeight="1" x14ac:dyDescent="0.3">
      <c r="B26" s="41" t="s">
        <v>327</v>
      </c>
      <c r="C26" s="41"/>
      <c r="D26" s="41"/>
      <c r="E26" s="58">
        <f>(E24+E25)*'Custo de Serviços'!$D$40</f>
        <v>68.955498863999992</v>
      </c>
      <c r="F26" s="41"/>
    </row>
    <row r="27" spans="2:6" ht="20.100000000000001" customHeight="1" x14ac:dyDescent="0.3">
      <c r="B27" s="25" t="s">
        <v>328</v>
      </c>
      <c r="C27" s="25"/>
      <c r="D27" s="25"/>
      <c r="E27" s="31">
        <f>SUM(E24:E26)</f>
        <v>930.89923466399989</v>
      </c>
      <c r="F27" s="25"/>
    </row>
    <row r="28" spans="2:6" ht="20.100000000000001" customHeight="1" x14ac:dyDescent="0.3">
      <c r="B28" s="41" t="s">
        <v>329</v>
      </c>
      <c r="C28" s="41"/>
      <c r="D28" s="41"/>
      <c r="E28" s="58">
        <f>E24*'Custo de Serviços'!$D$46</f>
        <v>8.20898796</v>
      </c>
      <c r="F28" s="41"/>
    </row>
    <row r="29" spans="2:6" ht="20.100000000000001" customHeight="1" x14ac:dyDescent="0.3">
      <c r="B29" s="41" t="s">
        <v>330</v>
      </c>
      <c r="C29" s="41"/>
      <c r="D29" s="41"/>
      <c r="E29" s="58">
        <f>(E24+E28)*'Custo de Serviços'!$D$47</f>
        <v>66.328622716799998</v>
      </c>
      <c r="F29" s="41"/>
    </row>
    <row r="30" spans="2:6" s="70" customFormat="1" ht="20.100000000000001" customHeight="1" x14ac:dyDescent="0.3">
      <c r="B30" s="101" t="s">
        <v>271</v>
      </c>
      <c r="C30" s="57">
        <v>3</v>
      </c>
      <c r="D30" s="101" t="s">
        <v>242</v>
      </c>
      <c r="E30" s="102" t="s">
        <v>242</v>
      </c>
      <c r="F30" s="101"/>
    </row>
    <row r="31" spans="2:6" ht="20.100000000000001" customHeight="1" x14ac:dyDescent="0.3">
      <c r="B31" s="25" t="s">
        <v>331</v>
      </c>
      <c r="C31" s="25">
        <v>5</v>
      </c>
      <c r="D31" s="25"/>
      <c r="E31" s="31">
        <f>SUM(E24,E28:E29)</f>
        <v>895.43640667679983</v>
      </c>
      <c r="F31" s="25"/>
    </row>
    <row r="32" spans="2:6" ht="20.100000000000001" customHeight="1" x14ac:dyDescent="0.25"/>
    <row r="33" spans="2:6" ht="20.100000000000001" customHeight="1" x14ac:dyDescent="0.3">
      <c r="B33" s="105" t="s">
        <v>332</v>
      </c>
      <c r="C33" s="106"/>
      <c r="D33" s="106"/>
      <c r="E33" s="106"/>
      <c r="F33" s="106"/>
    </row>
    <row r="34" spans="2:6" ht="27.95" customHeight="1" x14ac:dyDescent="0.25">
      <c r="B34" s="61" t="s">
        <v>315</v>
      </c>
      <c r="C34" s="61" t="s">
        <v>263</v>
      </c>
      <c r="D34" s="61" t="s">
        <v>316</v>
      </c>
      <c r="E34" s="61" t="s">
        <v>317</v>
      </c>
      <c r="F34" s="61" t="s">
        <v>318</v>
      </c>
    </row>
    <row r="35" spans="2:6" ht="20.100000000000001" customHeight="1" x14ac:dyDescent="0.3">
      <c r="B35" s="18" t="s">
        <v>260</v>
      </c>
      <c r="C35" s="57">
        <v>1</v>
      </c>
      <c r="D35" s="58">
        <f>'Referencias de Custos'!$D$34</f>
        <v>80</v>
      </c>
      <c r="E35" s="58">
        <f t="shared" ref="E35:E42" si="0">C35*D35</f>
        <v>80</v>
      </c>
      <c r="F35" s="18" t="s">
        <v>333</v>
      </c>
    </row>
    <row r="36" spans="2:6" ht="20.100000000000001" customHeight="1" x14ac:dyDescent="0.3">
      <c r="B36" s="18" t="s">
        <v>258</v>
      </c>
      <c r="C36" s="57">
        <v>1</v>
      </c>
      <c r="D36" s="58">
        <f>'Referencias de Custos'!$D$32</f>
        <v>29.082330000000002</v>
      </c>
      <c r="E36" s="58">
        <f t="shared" si="0"/>
        <v>29.082330000000002</v>
      </c>
      <c r="F36" s="18" t="s">
        <v>333</v>
      </c>
    </row>
    <row r="37" spans="2:6" ht="20.100000000000001" customHeight="1" x14ac:dyDescent="0.3">
      <c r="B37" s="18" t="s">
        <v>257</v>
      </c>
      <c r="C37" s="57">
        <v>1</v>
      </c>
      <c r="D37" s="58">
        <f>'Referencias de Custos'!D31</f>
        <v>50</v>
      </c>
      <c r="E37" s="58">
        <f t="shared" si="0"/>
        <v>50</v>
      </c>
      <c r="F37" s="73" t="s">
        <v>252</v>
      </c>
    </row>
    <row r="38" spans="2:6" ht="20.100000000000001" customHeight="1" x14ac:dyDescent="0.3">
      <c r="B38" s="18" t="s">
        <v>220</v>
      </c>
      <c r="C38" s="57">
        <v>1</v>
      </c>
      <c r="D38" s="58">
        <f>'Referencias de Custos'!$D$5</f>
        <v>15</v>
      </c>
      <c r="E38" s="58">
        <f t="shared" si="0"/>
        <v>15</v>
      </c>
      <c r="F38" s="18" t="s">
        <v>334</v>
      </c>
    </row>
    <row r="39" spans="2:6" ht="20.100000000000001" customHeight="1" x14ac:dyDescent="0.3">
      <c r="B39" s="18" t="s">
        <v>231</v>
      </c>
      <c r="C39" s="57">
        <v>1</v>
      </c>
      <c r="D39" s="58">
        <f>'Referencias de Custos'!$D$13</f>
        <v>160</v>
      </c>
      <c r="E39" s="58">
        <f t="shared" si="0"/>
        <v>160</v>
      </c>
      <c r="F39" s="18" t="s">
        <v>232</v>
      </c>
    </row>
    <row r="40" spans="2:6" ht="20.100000000000001" customHeight="1" x14ac:dyDescent="0.3">
      <c r="B40" s="18" t="s">
        <v>233</v>
      </c>
      <c r="C40" s="57">
        <v>1</v>
      </c>
      <c r="D40" s="58">
        <f>'Referencias de Custos'!D14</f>
        <v>160</v>
      </c>
      <c r="E40" s="58">
        <f t="shared" si="0"/>
        <v>160</v>
      </c>
      <c r="F40" s="73" t="s">
        <v>234</v>
      </c>
    </row>
    <row r="41" spans="2:6" ht="20.100000000000001" customHeight="1" x14ac:dyDescent="0.3">
      <c r="B41" s="18" t="s">
        <v>321</v>
      </c>
      <c r="C41" s="57">
        <f>90+120</f>
        <v>210</v>
      </c>
      <c r="D41" s="58">
        <f>'Referencias de Custos'!$D$2</f>
        <v>5.833333333333333</v>
      </c>
      <c r="E41" s="58">
        <f t="shared" si="0"/>
        <v>1225</v>
      </c>
      <c r="F41" s="18" t="s">
        <v>335</v>
      </c>
    </row>
    <row r="42" spans="2:6" ht="20.100000000000001" customHeight="1" x14ac:dyDescent="0.3">
      <c r="B42" s="18" t="s">
        <v>336</v>
      </c>
      <c r="C42" s="57">
        <v>2</v>
      </c>
      <c r="D42" s="58">
        <f>'Referencias de Custos'!$D$30</f>
        <v>35</v>
      </c>
      <c r="E42" s="58">
        <f t="shared" si="0"/>
        <v>70</v>
      </c>
      <c r="F42" s="18" t="s">
        <v>337</v>
      </c>
    </row>
    <row r="43" spans="2:6" ht="20.100000000000001" customHeight="1" x14ac:dyDescent="0.3">
      <c r="B43" s="59" t="s">
        <v>323</v>
      </c>
      <c r="C43" s="59"/>
      <c r="D43" s="59"/>
      <c r="E43" s="60">
        <f>SUM(E35:E42)</f>
        <v>1789.08233</v>
      </c>
      <c r="F43" s="59"/>
    </row>
    <row r="44" spans="2:6" ht="20.100000000000001" customHeight="1" x14ac:dyDescent="0.3">
      <c r="B44" s="41" t="s">
        <v>324</v>
      </c>
      <c r="C44" s="41"/>
      <c r="D44" s="41"/>
      <c r="E44" s="58">
        <f>E43*'Custo de Serviços'!$D$1</f>
        <v>357.81646599999999</v>
      </c>
      <c r="F44" s="41"/>
    </row>
    <row r="45" spans="2:6" ht="20.100000000000001" customHeight="1" x14ac:dyDescent="0.3">
      <c r="B45" s="59" t="s">
        <v>325</v>
      </c>
      <c r="C45" s="59"/>
      <c r="D45" s="59"/>
      <c r="E45" s="60">
        <f>E43+E44</f>
        <v>2146.8987959999999</v>
      </c>
      <c r="F45" s="59"/>
    </row>
    <row r="46" spans="2:6" ht="20.100000000000001" customHeight="1" x14ac:dyDescent="0.3">
      <c r="B46" s="41" t="s">
        <v>338</v>
      </c>
      <c r="C46" s="41"/>
      <c r="D46" s="41"/>
      <c r="E46" s="58">
        <f>E45*'Custo de Serviços'!$D$39</f>
        <v>107.34493980000001</v>
      </c>
      <c r="F46" s="41"/>
    </row>
    <row r="47" spans="2:6" ht="20.100000000000001" customHeight="1" x14ac:dyDescent="0.3">
      <c r="B47" s="41" t="s">
        <v>327</v>
      </c>
      <c r="C47" s="41"/>
      <c r="D47" s="41"/>
      <c r="E47" s="58">
        <f>(E45+E46)*'Custo de Serviços'!$D$40</f>
        <v>180.33949886399998</v>
      </c>
      <c r="F47" s="41"/>
    </row>
    <row r="48" spans="2:6" ht="20.100000000000001" customHeight="1" x14ac:dyDescent="0.3">
      <c r="B48" s="25" t="s">
        <v>328</v>
      </c>
      <c r="C48" s="25"/>
      <c r="D48" s="25"/>
      <c r="E48" s="31">
        <f>SUM(E45:E47)</f>
        <v>2434.5832346639995</v>
      </c>
      <c r="F48" s="25"/>
    </row>
    <row r="49" spans="2:6" ht="20.100000000000001" customHeight="1" x14ac:dyDescent="0.3">
      <c r="B49" s="41" t="s">
        <v>339</v>
      </c>
      <c r="C49" s="41"/>
      <c r="D49" s="41"/>
      <c r="E49" s="58">
        <f>E45*'Custo de Serviços'!$D$46</f>
        <v>21.46898796</v>
      </c>
      <c r="F49" s="41"/>
    </row>
    <row r="50" spans="2:6" ht="20.100000000000001" customHeight="1" x14ac:dyDescent="0.3">
      <c r="B50" s="41" t="s">
        <v>330</v>
      </c>
      <c r="C50" s="41"/>
      <c r="D50" s="41"/>
      <c r="E50" s="58">
        <f>(E45+E49)*'Custo de Serviços'!$D$47</f>
        <v>173.46942271680001</v>
      </c>
      <c r="F50" s="41"/>
    </row>
    <row r="51" spans="2:6" s="70" customFormat="1" ht="20.100000000000001" customHeight="1" x14ac:dyDescent="0.3">
      <c r="B51" s="101" t="s">
        <v>271</v>
      </c>
      <c r="C51" s="57">
        <v>5</v>
      </c>
      <c r="D51" s="101" t="s">
        <v>242</v>
      </c>
      <c r="E51" s="102" t="s">
        <v>242</v>
      </c>
      <c r="F51" s="101"/>
    </row>
    <row r="52" spans="2:6" ht="20.100000000000001" customHeight="1" x14ac:dyDescent="0.3">
      <c r="B52" s="25" t="s">
        <v>331</v>
      </c>
      <c r="C52" s="25"/>
      <c r="D52" s="25"/>
      <c r="E52" s="31">
        <f>SUM(E45,E49:E50)</f>
        <v>2341.8372066768002</v>
      </c>
      <c r="F52" s="25"/>
    </row>
    <row r="53" spans="2:6" ht="20.100000000000001" customHeight="1" x14ac:dyDescent="0.25">
      <c r="C53">
        <v>7</v>
      </c>
    </row>
    <row r="54" spans="2:6" ht="20.100000000000001" customHeight="1" x14ac:dyDescent="0.25"/>
    <row r="55" spans="2:6" ht="20.100000000000001" customHeight="1" x14ac:dyDescent="0.3">
      <c r="B55" s="105" t="s">
        <v>340</v>
      </c>
      <c r="C55" s="106"/>
      <c r="D55" s="106"/>
      <c r="E55" s="106"/>
      <c r="F55" s="106"/>
    </row>
    <row r="56" spans="2:6" ht="27.95" customHeight="1" x14ac:dyDescent="0.25">
      <c r="B56" s="61" t="s">
        <v>315</v>
      </c>
      <c r="C56" s="61" t="s">
        <v>263</v>
      </c>
      <c r="D56" s="61" t="s">
        <v>316</v>
      </c>
      <c r="E56" s="61" t="s">
        <v>317</v>
      </c>
      <c r="F56" s="61" t="s">
        <v>318</v>
      </c>
    </row>
    <row r="57" spans="2:6" ht="20.100000000000001" customHeight="1" x14ac:dyDescent="0.3">
      <c r="B57" s="18" t="s">
        <v>260</v>
      </c>
      <c r="C57" s="57">
        <v>1</v>
      </c>
      <c r="D57" s="58">
        <f>'Referencias de Custos'!$D$34</f>
        <v>80</v>
      </c>
      <c r="E57" s="58">
        <f t="shared" ref="E57:E65" si="1">C57*D57</f>
        <v>80</v>
      </c>
      <c r="F57" s="18" t="s">
        <v>333</v>
      </c>
    </row>
    <row r="58" spans="2:6" ht="20.100000000000001" customHeight="1" x14ac:dyDescent="0.3">
      <c r="B58" s="18" t="s">
        <v>258</v>
      </c>
      <c r="C58" s="57">
        <v>1</v>
      </c>
      <c r="D58" s="58">
        <f>'Referencias de Custos'!$D$32</f>
        <v>29.082330000000002</v>
      </c>
      <c r="E58" s="58">
        <f t="shared" si="1"/>
        <v>29.082330000000002</v>
      </c>
      <c r="F58" s="18" t="s">
        <v>333</v>
      </c>
    </row>
    <row r="59" spans="2:6" ht="20.100000000000001" customHeight="1" x14ac:dyDescent="0.3">
      <c r="B59" s="18" t="s">
        <v>257</v>
      </c>
      <c r="C59" s="57">
        <v>1</v>
      </c>
      <c r="D59" s="58">
        <f>'Referencias de Custos'!D31</f>
        <v>50</v>
      </c>
      <c r="E59" s="58">
        <f t="shared" si="1"/>
        <v>50</v>
      </c>
      <c r="F59" s="73" t="s">
        <v>252</v>
      </c>
    </row>
    <row r="60" spans="2:6" ht="20.100000000000001" customHeight="1" x14ac:dyDescent="0.3">
      <c r="B60" s="18" t="s">
        <v>220</v>
      </c>
      <c r="C60" s="57">
        <v>1</v>
      </c>
      <c r="D60" s="58">
        <f>'Referencias de Custos'!$D$5</f>
        <v>15</v>
      </c>
      <c r="E60" s="58">
        <f t="shared" si="1"/>
        <v>15</v>
      </c>
      <c r="F60" s="18" t="s">
        <v>341</v>
      </c>
    </row>
    <row r="61" spans="2:6" ht="20.100000000000001" customHeight="1" x14ac:dyDescent="0.3">
      <c r="B61" s="18" t="s">
        <v>231</v>
      </c>
      <c r="C61" s="57">
        <v>1</v>
      </c>
      <c r="D61" s="58">
        <f>'Referencias de Custos'!$D$13</f>
        <v>160</v>
      </c>
      <c r="E61" s="58">
        <f t="shared" si="1"/>
        <v>160</v>
      </c>
      <c r="F61" s="18" t="s">
        <v>232</v>
      </c>
    </row>
    <row r="62" spans="2:6" ht="20.100000000000001" customHeight="1" x14ac:dyDescent="0.3">
      <c r="B62" s="18" t="s">
        <v>233</v>
      </c>
      <c r="C62" s="57">
        <v>1</v>
      </c>
      <c r="D62" s="58">
        <f>'Referencias de Custos'!D14</f>
        <v>160</v>
      </c>
      <c r="E62" s="58">
        <f t="shared" si="1"/>
        <v>160</v>
      </c>
      <c r="F62" s="73" t="s">
        <v>234</v>
      </c>
    </row>
    <row r="63" spans="2:6" ht="20.100000000000001" customHeight="1" x14ac:dyDescent="0.3">
      <c r="B63" s="18" t="s">
        <v>235</v>
      </c>
      <c r="C63" s="57">
        <v>1</v>
      </c>
      <c r="D63" s="58">
        <f>'Custo de Serviços'!$E$91</f>
        <v>160</v>
      </c>
      <c r="E63" s="58">
        <f t="shared" si="1"/>
        <v>160</v>
      </c>
      <c r="F63" s="18" t="s">
        <v>342</v>
      </c>
    </row>
    <row r="64" spans="2:6" ht="20.100000000000001" customHeight="1" x14ac:dyDescent="0.3">
      <c r="B64" s="18" t="s">
        <v>321</v>
      </c>
      <c r="C64" s="57">
        <f>90+120+180</f>
        <v>390</v>
      </c>
      <c r="D64" s="58">
        <f>'Referencias de Custos'!$D$2</f>
        <v>5.833333333333333</v>
      </c>
      <c r="E64" s="58">
        <f t="shared" si="1"/>
        <v>2275</v>
      </c>
      <c r="F64" s="18" t="s">
        <v>343</v>
      </c>
    </row>
    <row r="65" spans="2:6" ht="20.100000000000001" customHeight="1" x14ac:dyDescent="0.3">
      <c r="B65" s="18" t="s">
        <v>336</v>
      </c>
      <c r="C65" s="57">
        <v>2</v>
      </c>
      <c r="D65" s="58">
        <f>'Referencias de Custos'!$D$30</f>
        <v>35</v>
      </c>
      <c r="E65" s="58">
        <f t="shared" si="1"/>
        <v>70</v>
      </c>
      <c r="F65" s="18" t="s">
        <v>337</v>
      </c>
    </row>
    <row r="66" spans="2:6" ht="20.100000000000001" customHeight="1" x14ac:dyDescent="0.3">
      <c r="B66" s="59" t="s">
        <v>323</v>
      </c>
      <c r="C66" s="59"/>
      <c r="D66" s="59"/>
      <c r="E66" s="60">
        <f>SUM(E57:E65)</f>
        <v>2999.0823300000002</v>
      </c>
      <c r="F66" s="59"/>
    </row>
    <row r="67" spans="2:6" ht="20.100000000000001" customHeight="1" x14ac:dyDescent="0.3">
      <c r="B67" s="41" t="s">
        <v>324</v>
      </c>
      <c r="C67" s="41"/>
      <c r="D67" s="41"/>
      <c r="E67" s="58">
        <f>E66*'Custo de Serviços'!$D$1</f>
        <v>599.8164660000001</v>
      </c>
      <c r="F67" s="41"/>
    </row>
    <row r="68" spans="2:6" ht="20.100000000000001" customHeight="1" x14ac:dyDescent="0.3">
      <c r="B68" s="59" t="s">
        <v>325</v>
      </c>
      <c r="C68" s="59"/>
      <c r="D68" s="59"/>
      <c r="E68" s="60">
        <f>E66+E67</f>
        <v>3598.8987960000004</v>
      </c>
      <c r="F68" s="59"/>
    </row>
    <row r="69" spans="2:6" ht="20.100000000000001" customHeight="1" x14ac:dyDescent="0.3">
      <c r="B69" s="41" t="s">
        <v>338</v>
      </c>
      <c r="C69" s="41"/>
      <c r="D69" s="41"/>
      <c r="E69" s="58">
        <f>E68*'Custo de Serviços'!$D$39</f>
        <v>179.94493980000004</v>
      </c>
      <c r="F69" s="41"/>
    </row>
    <row r="70" spans="2:6" ht="20.100000000000001" customHeight="1" x14ac:dyDescent="0.3">
      <c r="B70" s="41" t="s">
        <v>327</v>
      </c>
      <c r="C70" s="41"/>
      <c r="D70" s="41"/>
      <c r="E70" s="58">
        <f>(E68+E69)*'Custo de Serviços'!$D$40</f>
        <v>302.30749886400002</v>
      </c>
      <c r="F70" s="41"/>
    </row>
    <row r="71" spans="2:6" ht="20.100000000000001" customHeight="1" x14ac:dyDescent="0.3">
      <c r="B71" s="25" t="s">
        <v>328</v>
      </c>
      <c r="C71" s="25"/>
      <c r="D71" s="25"/>
      <c r="E71" s="31">
        <f>SUM(E68:E70)</f>
        <v>4081.1512346640006</v>
      </c>
      <c r="F71" s="25"/>
    </row>
    <row r="72" spans="2:6" ht="20.100000000000001" customHeight="1" x14ac:dyDescent="0.3">
      <c r="B72" s="41" t="s">
        <v>339</v>
      </c>
      <c r="C72" s="41"/>
      <c r="D72" s="41"/>
      <c r="E72" s="58">
        <f>E68*'Custo de Serviços'!$D$46</f>
        <v>35.988987960000003</v>
      </c>
      <c r="F72" s="41"/>
    </row>
    <row r="73" spans="2:6" ht="20.100000000000001" customHeight="1" x14ac:dyDescent="0.3">
      <c r="B73" s="41" t="s">
        <v>330</v>
      </c>
      <c r="C73" s="41"/>
      <c r="D73" s="41"/>
      <c r="E73" s="58">
        <f>(E68+E72)*'Custo de Serviços'!$D$47</f>
        <v>290.79102271680006</v>
      </c>
      <c r="F73" s="41"/>
    </row>
    <row r="74" spans="2:6" s="70" customFormat="1" ht="20.100000000000001" customHeight="1" x14ac:dyDescent="0.3">
      <c r="B74" s="101" t="s">
        <v>271</v>
      </c>
      <c r="C74" s="57">
        <v>10</v>
      </c>
      <c r="D74" s="101" t="s">
        <v>242</v>
      </c>
      <c r="E74" s="102" t="s">
        <v>242</v>
      </c>
      <c r="F74" s="101"/>
    </row>
    <row r="75" spans="2:6" ht="20.100000000000001" customHeight="1" x14ac:dyDescent="0.3">
      <c r="B75" s="25" t="s">
        <v>331</v>
      </c>
      <c r="C75" s="25"/>
      <c r="D75" s="25"/>
      <c r="E75" s="31">
        <f>SUM(E68,E72:E73)</f>
        <v>3925.6788066768004</v>
      </c>
      <c r="F75" s="25"/>
    </row>
    <row r="76" spans="2:6" ht="20.100000000000001" customHeight="1" x14ac:dyDescent="0.25"/>
    <row r="77" spans="2:6" ht="20.100000000000001" customHeight="1" x14ac:dyDescent="0.25">
      <c r="C77">
        <v>10</v>
      </c>
    </row>
    <row r="78" spans="2:6" ht="20.100000000000001" customHeight="1" x14ac:dyDescent="0.3">
      <c r="B78" s="105" t="s">
        <v>344</v>
      </c>
      <c r="C78" s="106"/>
      <c r="D78" s="106"/>
      <c r="E78" s="106"/>
      <c r="F78" s="106"/>
    </row>
    <row r="79" spans="2:6" ht="27.95" customHeight="1" x14ac:dyDescent="0.25">
      <c r="B79" s="61" t="s">
        <v>315</v>
      </c>
      <c r="C79" s="61" t="s">
        <v>263</v>
      </c>
      <c r="D79" s="61" t="s">
        <v>316</v>
      </c>
      <c r="E79" s="61" t="s">
        <v>317</v>
      </c>
      <c r="F79" s="61" t="s">
        <v>318</v>
      </c>
    </row>
    <row r="80" spans="2:6" ht="20.100000000000001" customHeight="1" x14ac:dyDescent="0.3">
      <c r="B80" s="18" t="s">
        <v>260</v>
      </c>
      <c r="C80" s="57">
        <v>1</v>
      </c>
      <c r="D80" s="58">
        <f>'Referencias de Custos'!$D$34</f>
        <v>80</v>
      </c>
      <c r="E80" s="58">
        <f t="shared" ref="E80:E90" si="2">C80*D80</f>
        <v>80</v>
      </c>
      <c r="F80" s="18" t="s">
        <v>333</v>
      </c>
    </row>
    <row r="81" spans="2:6" ht="20.100000000000001" customHeight="1" x14ac:dyDescent="0.3">
      <c r="B81" s="18" t="s">
        <v>258</v>
      </c>
      <c r="C81" s="57">
        <v>1</v>
      </c>
      <c r="D81" s="58">
        <f>'Referencias de Custos'!$D$32</f>
        <v>29.082330000000002</v>
      </c>
      <c r="E81" s="58">
        <f t="shared" si="2"/>
        <v>29.082330000000002</v>
      </c>
      <c r="F81" s="18" t="s">
        <v>333</v>
      </c>
    </row>
    <row r="82" spans="2:6" ht="20.100000000000001" customHeight="1" x14ac:dyDescent="0.3">
      <c r="B82" s="18" t="s">
        <v>257</v>
      </c>
      <c r="C82" s="57">
        <v>1</v>
      </c>
      <c r="D82" s="58">
        <f>'Referencias de Custos'!D31</f>
        <v>50</v>
      </c>
      <c r="E82" s="58">
        <f t="shared" si="2"/>
        <v>50</v>
      </c>
      <c r="F82" s="73" t="s">
        <v>252</v>
      </c>
    </row>
    <row r="83" spans="2:6" ht="20.100000000000001" customHeight="1" x14ac:dyDescent="0.3">
      <c r="B83" s="18" t="s">
        <v>220</v>
      </c>
      <c r="C83" s="57">
        <v>1</v>
      </c>
      <c r="D83" s="58">
        <f>'Referencias de Custos'!$D$5</f>
        <v>15</v>
      </c>
      <c r="E83" s="58">
        <f t="shared" si="2"/>
        <v>15</v>
      </c>
      <c r="F83" s="18" t="s">
        <v>341</v>
      </c>
    </row>
    <row r="84" spans="2:6" ht="20.100000000000001" customHeight="1" x14ac:dyDescent="0.3">
      <c r="B84" s="18" t="s">
        <v>222</v>
      </c>
      <c r="C84" s="57">
        <v>1</v>
      </c>
      <c r="D84" s="58">
        <f>'Referencias de Custos'!$D$6</f>
        <v>15</v>
      </c>
      <c r="E84" s="58">
        <f t="shared" si="2"/>
        <v>15</v>
      </c>
      <c r="F84" s="18" t="s">
        <v>345</v>
      </c>
    </row>
    <row r="85" spans="2:6" ht="20.100000000000001" customHeight="1" x14ac:dyDescent="0.3">
      <c r="B85" s="18" t="s">
        <v>254</v>
      </c>
      <c r="C85" s="57">
        <v>1</v>
      </c>
      <c r="D85" s="58">
        <f>'Referencias de Custos'!$D$29</f>
        <v>200</v>
      </c>
      <c r="E85" s="58">
        <f t="shared" si="2"/>
        <v>200</v>
      </c>
      <c r="F85" s="18" t="s">
        <v>346</v>
      </c>
    </row>
    <row r="86" spans="2:6" ht="20.100000000000001" customHeight="1" x14ac:dyDescent="0.3">
      <c r="B86" s="18" t="s">
        <v>231</v>
      </c>
      <c r="C86" s="57">
        <v>1</v>
      </c>
      <c r="D86" s="58">
        <f>'Referencias de Custos'!$D$13</f>
        <v>160</v>
      </c>
      <c r="E86" s="58">
        <f t="shared" si="2"/>
        <v>160</v>
      </c>
      <c r="F86" s="18" t="s">
        <v>232</v>
      </c>
    </row>
    <row r="87" spans="2:6" ht="20.100000000000001" customHeight="1" x14ac:dyDescent="0.3">
      <c r="B87" s="18" t="s">
        <v>233</v>
      </c>
      <c r="C87" s="57">
        <v>1</v>
      </c>
      <c r="D87" s="58">
        <f>'Referencias de Custos'!D14</f>
        <v>160</v>
      </c>
      <c r="E87" s="58">
        <f t="shared" si="2"/>
        <v>160</v>
      </c>
      <c r="F87" s="73" t="s">
        <v>234</v>
      </c>
    </row>
    <row r="88" spans="2:6" ht="20.100000000000001" customHeight="1" x14ac:dyDescent="0.3">
      <c r="B88" s="18" t="s">
        <v>235</v>
      </c>
      <c r="C88" s="57">
        <v>1</v>
      </c>
      <c r="D88" s="58">
        <f>'Custo de Serviços'!$E$91</f>
        <v>160</v>
      </c>
      <c r="E88" s="58">
        <f t="shared" si="2"/>
        <v>160</v>
      </c>
      <c r="F88" s="18" t="s">
        <v>342</v>
      </c>
    </row>
    <row r="89" spans="2:6" ht="20.100000000000001" customHeight="1" x14ac:dyDescent="0.3">
      <c r="B89" s="18" t="s">
        <v>321</v>
      </c>
      <c r="C89" s="57">
        <f>90+120+180+1380</f>
        <v>1770</v>
      </c>
      <c r="D89" s="58">
        <f>'Referencias de Custos'!$D$2</f>
        <v>5.833333333333333</v>
      </c>
      <c r="E89" s="58">
        <f t="shared" si="2"/>
        <v>10325</v>
      </c>
      <c r="F89" s="18" t="s">
        <v>347</v>
      </c>
    </row>
    <row r="90" spans="2:6" ht="20.100000000000001" customHeight="1" x14ac:dyDescent="0.3">
      <c r="B90" s="18" t="s">
        <v>336</v>
      </c>
      <c r="C90" s="57">
        <v>2</v>
      </c>
      <c r="D90" s="58">
        <f>'Referencias de Custos'!$D$30</f>
        <v>35</v>
      </c>
      <c r="E90" s="58">
        <f t="shared" si="2"/>
        <v>70</v>
      </c>
      <c r="F90" s="18" t="s">
        <v>337</v>
      </c>
    </row>
    <row r="91" spans="2:6" ht="20.100000000000001" customHeight="1" x14ac:dyDescent="0.3">
      <c r="B91" s="59" t="s">
        <v>323</v>
      </c>
      <c r="C91" s="59"/>
      <c r="D91" s="59"/>
      <c r="E91" s="60">
        <f>SUM(E80:E90)</f>
        <v>11264.082329999999</v>
      </c>
      <c r="F91" s="59"/>
    </row>
    <row r="92" spans="2:6" ht="20.100000000000001" customHeight="1" x14ac:dyDescent="0.3">
      <c r="B92" s="41" t="s">
        <v>324</v>
      </c>
      <c r="C92" s="41"/>
      <c r="D92" s="41"/>
      <c r="E92" s="58">
        <f>E91*'Custo de Serviços'!$D$1</f>
        <v>2252.8164659999998</v>
      </c>
      <c r="F92" s="41"/>
    </row>
    <row r="93" spans="2:6" ht="20.100000000000001" customHeight="1" x14ac:dyDescent="0.3">
      <c r="B93" s="59" t="s">
        <v>325</v>
      </c>
      <c r="C93" s="59"/>
      <c r="D93" s="59"/>
      <c r="E93" s="60">
        <f>E91+E92</f>
        <v>13516.898795999999</v>
      </c>
      <c r="F93" s="59"/>
    </row>
    <row r="94" spans="2:6" ht="20.100000000000001" customHeight="1" x14ac:dyDescent="0.3">
      <c r="B94" s="41" t="s">
        <v>338</v>
      </c>
      <c r="C94" s="41"/>
      <c r="D94" s="41"/>
      <c r="E94" s="58">
        <f>E93*'Custo de Serviços'!$D$39</f>
        <v>675.84493980000002</v>
      </c>
      <c r="F94" s="41"/>
    </row>
    <row r="95" spans="2:6" ht="20.100000000000001" customHeight="1" x14ac:dyDescent="0.3">
      <c r="B95" s="41" t="s">
        <v>327</v>
      </c>
      <c r="C95" s="41"/>
      <c r="D95" s="41"/>
      <c r="E95" s="58">
        <f>(E93+E94)*'Custo de Serviços'!$D$40</f>
        <v>1135.4194988639999</v>
      </c>
      <c r="F95" s="41"/>
    </row>
    <row r="96" spans="2:6" ht="20.100000000000001" customHeight="1" x14ac:dyDescent="0.3">
      <c r="B96" s="25" t="s">
        <v>328</v>
      </c>
      <c r="C96" s="25"/>
      <c r="D96" s="25"/>
      <c r="E96" s="31">
        <f>SUM(E93:E95)</f>
        <v>15328.163234663998</v>
      </c>
      <c r="F96" s="25"/>
    </row>
    <row r="97" spans="2:6" ht="20.100000000000001" customHeight="1" x14ac:dyDescent="0.3">
      <c r="B97" s="41" t="s">
        <v>339</v>
      </c>
      <c r="C97" s="41"/>
      <c r="D97" s="41"/>
      <c r="E97" s="58">
        <f>E93*'Custo de Serviços'!$D$46</f>
        <v>135.16898796000001</v>
      </c>
      <c r="F97" s="41"/>
    </row>
    <row r="98" spans="2:6" ht="20.100000000000001" customHeight="1" x14ac:dyDescent="0.3">
      <c r="B98" s="41" t="s">
        <v>330</v>
      </c>
      <c r="C98" s="41"/>
      <c r="D98" s="41"/>
      <c r="E98" s="58">
        <f>(E93+E97)*'Custo de Serviços'!$D$47</f>
        <v>1092.1654227167999</v>
      </c>
      <c r="F98" s="41"/>
    </row>
    <row r="99" spans="2:6" s="70" customFormat="1" ht="20.100000000000001" customHeight="1" x14ac:dyDescent="0.3">
      <c r="B99" s="101" t="s">
        <v>271</v>
      </c>
      <c r="C99" s="57">
        <v>12</v>
      </c>
      <c r="D99" s="101" t="s">
        <v>242</v>
      </c>
      <c r="E99" s="102" t="s">
        <v>242</v>
      </c>
      <c r="F99" s="101"/>
    </row>
    <row r="100" spans="2:6" ht="20.100000000000001" customHeight="1" x14ac:dyDescent="0.3">
      <c r="B100" s="25" t="s">
        <v>331</v>
      </c>
      <c r="C100" s="25"/>
      <c r="D100" s="25"/>
      <c r="E100" s="31">
        <f>SUM(E93,E97:E98)</f>
        <v>14744.233206676799</v>
      </c>
      <c r="F100" s="25"/>
    </row>
    <row r="101" spans="2:6" ht="20.100000000000001" customHeight="1" x14ac:dyDescent="0.25"/>
    <row r="102" spans="2:6" ht="20.100000000000001" customHeight="1" x14ac:dyDescent="0.3">
      <c r="B102" s="105" t="s">
        <v>348</v>
      </c>
      <c r="C102" s="106"/>
      <c r="D102" s="106"/>
      <c r="E102" s="106"/>
      <c r="F102" s="106"/>
    </row>
    <row r="103" spans="2:6" ht="27.95" customHeight="1" x14ac:dyDescent="0.25">
      <c r="B103" s="61" t="s">
        <v>315</v>
      </c>
      <c r="C103" s="61">
        <v>12</v>
      </c>
      <c r="D103" s="61" t="s">
        <v>316</v>
      </c>
      <c r="E103" s="61" t="s">
        <v>317</v>
      </c>
      <c r="F103" s="61" t="s">
        <v>318</v>
      </c>
    </row>
    <row r="104" spans="2:6" ht="20.100000000000001" customHeight="1" x14ac:dyDescent="0.3">
      <c r="B104" s="18" t="s">
        <v>260</v>
      </c>
      <c r="C104" s="57">
        <v>1</v>
      </c>
      <c r="D104" s="58">
        <f>'Referencias de Custos'!$D$34</f>
        <v>80</v>
      </c>
      <c r="E104" s="58">
        <f t="shared" ref="E104:E115" si="3">C104*D104</f>
        <v>80</v>
      </c>
      <c r="F104" s="18" t="s">
        <v>333</v>
      </c>
    </row>
    <row r="105" spans="2:6" ht="20.100000000000001" customHeight="1" x14ac:dyDescent="0.3">
      <c r="B105" s="18" t="s">
        <v>258</v>
      </c>
      <c r="C105" s="57">
        <v>1</v>
      </c>
      <c r="D105" s="58">
        <f>'Referencias de Custos'!$D$32</f>
        <v>29.082330000000002</v>
      </c>
      <c r="E105" s="58">
        <f t="shared" si="3"/>
        <v>29.082330000000002</v>
      </c>
      <c r="F105" s="18" t="s">
        <v>333</v>
      </c>
    </row>
    <row r="106" spans="2:6" ht="20.100000000000001" customHeight="1" x14ac:dyDescent="0.3">
      <c r="B106" s="18" t="s">
        <v>257</v>
      </c>
      <c r="C106" s="57">
        <v>1</v>
      </c>
      <c r="D106" s="58">
        <f>'Referencias de Custos'!D31</f>
        <v>50</v>
      </c>
      <c r="E106" s="58">
        <f t="shared" si="3"/>
        <v>50</v>
      </c>
      <c r="F106" s="73" t="s">
        <v>252</v>
      </c>
    </row>
    <row r="107" spans="2:6" ht="20.100000000000001" customHeight="1" x14ac:dyDescent="0.3">
      <c r="B107" s="18" t="s">
        <v>220</v>
      </c>
      <c r="C107" s="57">
        <v>1</v>
      </c>
      <c r="D107" s="58">
        <f>'Referencias de Custos'!$D$5</f>
        <v>15</v>
      </c>
      <c r="E107" s="58">
        <f t="shared" si="3"/>
        <v>15</v>
      </c>
      <c r="F107" s="18" t="s">
        <v>341</v>
      </c>
    </row>
    <row r="108" spans="2:6" ht="20.100000000000001" customHeight="1" x14ac:dyDescent="0.3">
      <c r="B108" s="18" t="s">
        <v>222</v>
      </c>
      <c r="C108" s="57">
        <v>1</v>
      </c>
      <c r="D108" s="58">
        <f>'Referencias de Custos'!$D$6</f>
        <v>15</v>
      </c>
      <c r="E108" s="58">
        <f t="shared" si="3"/>
        <v>15</v>
      </c>
      <c r="F108" s="18" t="s">
        <v>345</v>
      </c>
    </row>
    <row r="109" spans="2:6" ht="20.100000000000001" customHeight="1" x14ac:dyDescent="0.3">
      <c r="B109" s="18" t="s">
        <v>290</v>
      </c>
      <c r="C109" s="57">
        <v>1</v>
      </c>
      <c r="D109" s="58">
        <f>'Custo de Serviços'!E153</f>
        <v>250</v>
      </c>
      <c r="E109" s="58">
        <f t="shared" si="3"/>
        <v>250</v>
      </c>
      <c r="F109" s="18" t="s">
        <v>349</v>
      </c>
    </row>
    <row r="110" spans="2:6" ht="20.100000000000001" customHeight="1" x14ac:dyDescent="0.3">
      <c r="B110" s="18" t="s">
        <v>254</v>
      </c>
      <c r="C110" s="57">
        <v>1</v>
      </c>
      <c r="D110" s="58">
        <f>'Referencias de Custos'!$D$29</f>
        <v>200</v>
      </c>
      <c r="E110" s="58">
        <f t="shared" si="3"/>
        <v>200</v>
      </c>
      <c r="F110" s="18" t="s">
        <v>346</v>
      </c>
    </row>
    <row r="111" spans="2:6" ht="20.100000000000001" customHeight="1" x14ac:dyDescent="0.3">
      <c r="B111" s="18" t="s">
        <v>231</v>
      </c>
      <c r="C111" s="57">
        <v>1</v>
      </c>
      <c r="D111" s="58">
        <f>'Referencias de Custos'!$D$13</f>
        <v>160</v>
      </c>
      <c r="E111" s="58">
        <f t="shared" si="3"/>
        <v>160</v>
      </c>
      <c r="F111" s="18" t="s">
        <v>350</v>
      </c>
    </row>
    <row r="112" spans="2:6" ht="20.100000000000001" customHeight="1" x14ac:dyDescent="0.3">
      <c r="B112" s="18" t="s">
        <v>233</v>
      </c>
      <c r="C112" s="57">
        <v>1</v>
      </c>
      <c r="D112" s="58">
        <f>'Referencias de Custos'!D14</f>
        <v>160</v>
      </c>
      <c r="E112" s="58">
        <f t="shared" si="3"/>
        <v>160</v>
      </c>
      <c r="F112" s="73" t="s">
        <v>234</v>
      </c>
    </row>
    <row r="113" spans="2:6" ht="20.100000000000001" customHeight="1" x14ac:dyDescent="0.3">
      <c r="B113" s="18" t="s">
        <v>235</v>
      </c>
      <c r="C113" s="57">
        <v>1</v>
      </c>
      <c r="D113" s="58">
        <f>'Custo de Serviços'!$E$91</f>
        <v>160</v>
      </c>
      <c r="E113" s="58">
        <f t="shared" si="3"/>
        <v>160</v>
      </c>
      <c r="F113" s="18" t="s">
        <v>342</v>
      </c>
    </row>
    <row r="114" spans="2:6" ht="20.100000000000001" customHeight="1" x14ac:dyDescent="0.3">
      <c r="B114" s="18" t="s">
        <v>321</v>
      </c>
      <c r="C114" s="57">
        <v>2790</v>
      </c>
      <c r="D114" s="58">
        <f>'Referencias de Custos'!$D$2</f>
        <v>5.833333333333333</v>
      </c>
      <c r="E114" s="58">
        <f t="shared" si="3"/>
        <v>16275</v>
      </c>
      <c r="F114" s="18" t="s">
        <v>351</v>
      </c>
    </row>
    <row r="115" spans="2:6" ht="20.100000000000001" customHeight="1" x14ac:dyDescent="0.3">
      <c r="B115" s="18" t="s">
        <v>336</v>
      </c>
      <c r="C115" s="57">
        <v>2</v>
      </c>
      <c r="D115" s="58">
        <f>'Referencias de Custos'!$D$30</f>
        <v>35</v>
      </c>
      <c r="E115" s="58">
        <f t="shared" si="3"/>
        <v>70</v>
      </c>
      <c r="F115" s="18" t="s">
        <v>337</v>
      </c>
    </row>
    <row r="116" spans="2:6" ht="20.100000000000001" customHeight="1" x14ac:dyDescent="0.3">
      <c r="B116" s="59" t="s">
        <v>323</v>
      </c>
      <c r="C116" s="59"/>
      <c r="D116" s="59"/>
      <c r="E116" s="60">
        <f>SUM(E104:E115)</f>
        <v>17464.082330000001</v>
      </c>
      <c r="F116" s="59"/>
    </row>
    <row r="117" spans="2:6" ht="20.100000000000001" customHeight="1" x14ac:dyDescent="0.3">
      <c r="B117" s="41" t="s">
        <v>324</v>
      </c>
      <c r="C117" s="41"/>
      <c r="D117" s="41"/>
      <c r="E117" s="58">
        <f>E116*'Custo de Serviços'!$D$1</f>
        <v>3492.8164660000002</v>
      </c>
      <c r="F117" s="41"/>
    </row>
    <row r="118" spans="2:6" ht="20.100000000000001" customHeight="1" x14ac:dyDescent="0.3">
      <c r="B118" s="59" t="s">
        <v>325</v>
      </c>
      <c r="C118" s="59"/>
      <c r="D118" s="59"/>
      <c r="E118" s="60">
        <f>E116+E117</f>
        <v>20956.898796000001</v>
      </c>
      <c r="F118" s="59"/>
    </row>
    <row r="119" spans="2:6" ht="20.100000000000001" customHeight="1" x14ac:dyDescent="0.3">
      <c r="B119" s="41" t="s">
        <v>338</v>
      </c>
      <c r="C119" s="41"/>
      <c r="D119" s="41"/>
      <c r="E119" s="58">
        <f>E118*'Custo de Serviços'!$D$39</f>
        <v>1047.8449398</v>
      </c>
      <c r="F119" s="41"/>
    </row>
    <row r="120" spans="2:6" ht="20.100000000000001" customHeight="1" x14ac:dyDescent="0.3">
      <c r="B120" s="41" t="s">
        <v>327</v>
      </c>
      <c r="C120" s="41"/>
      <c r="D120" s="41"/>
      <c r="E120" s="58">
        <f>(E118+E119)*'Custo de Serviços'!$D$40</f>
        <v>1760.3794988640002</v>
      </c>
      <c r="F120" s="41"/>
    </row>
    <row r="121" spans="2:6" ht="20.100000000000001" customHeight="1" x14ac:dyDescent="0.3">
      <c r="B121" s="25" t="s">
        <v>328</v>
      </c>
      <c r="C121" s="25"/>
      <c r="D121" s="25"/>
      <c r="E121" s="31">
        <f>SUM(E118:E120)</f>
        <v>23765.123234664003</v>
      </c>
      <c r="F121" s="25"/>
    </row>
    <row r="122" spans="2:6" ht="20.100000000000001" customHeight="1" x14ac:dyDescent="0.3">
      <c r="B122" s="41" t="s">
        <v>339</v>
      </c>
      <c r="C122" s="41"/>
      <c r="D122" s="41"/>
      <c r="E122" s="58">
        <f>E118*'Custo de Serviços'!$D$46</f>
        <v>209.56898796000002</v>
      </c>
      <c r="F122" s="41"/>
    </row>
    <row r="123" spans="2:6" ht="20.100000000000001" customHeight="1" x14ac:dyDescent="0.3">
      <c r="B123" s="41" t="s">
        <v>330</v>
      </c>
      <c r="C123" s="41"/>
      <c r="D123" s="41"/>
      <c r="E123" s="58">
        <f>(E118+E122)*'Custo de Serviços'!$D$47</f>
        <v>1693.3174227168001</v>
      </c>
      <c r="F123" s="41"/>
    </row>
    <row r="124" spans="2:6" s="70" customFormat="1" ht="20.100000000000001" customHeight="1" x14ac:dyDescent="0.3">
      <c r="B124" s="101" t="s">
        <v>271</v>
      </c>
      <c r="C124" s="57">
        <v>12</v>
      </c>
      <c r="D124" s="101" t="s">
        <v>242</v>
      </c>
      <c r="E124" s="102" t="s">
        <v>242</v>
      </c>
      <c r="F124" s="101"/>
    </row>
    <row r="125" spans="2:6" ht="20.100000000000001" customHeight="1" x14ac:dyDescent="0.3">
      <c r="B125" s="25" t="s">
        <v>331</v>
      </c>
      <c r="C125" s="25"/>
      <c r="D125" s="25"/>
      <c r="E125" s="31">
        <f>SUM(E118,E122:E123)</f>
        <v>22859.785206676803</v>
      </c>
      <c r="F125" s="25"/>
    </row>
    <row r="129" spans="3:3" x14ac:dyDescent="0.25">
      <c r="C129">
        <v>12</v>
      </c>
    </row>
  </sheetData>
  <mergeCells count="5">
    <mergeCell ref="B55:F55"/>
    <mergeCell ref="B16:F16"/>
    <mergeCell ref="B78:F78"/>
    <mergeCell ref="B33:F33"/>
    <mergeCell ref="B102:F10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31"/>
  <sheetViews>
    <sheetView workbookViewId="0">
      <selection activeCell="E4" sqref="E4"/>
    </sheetView>
  </sheetViews>
  <sheetFormatPr defaultRowHeight="12.75" x14ac:dyDescent="0.2"/>
  <cols>
    <col min="1" max="1" width="3.375" style="74" customWidth="1"/>
    <col min="2" max="2" width="35.875" style="74" customWidth="1"/>
    <col min="3" max="3" width="55.25" style="74" customWidth="1"/>
    <col min="4" max="5" width="41" style="74" customWidth="1"/>
    <col min="6" max="6" width="48.5" style="74" customWidth="1"/>
    <col min="7" max="7" width="62" style="74" customWidth="1"/>
    <col min="8" max="9" width="9" style="74" customWidth="1"/>
    <col min="10" max="16384" width="9" style="74"/>
  </cols>
  <sheetData>
    <row r="1" spans="2:6" ht="20.100000000000001" customHeight="1" x14ac:dyDescent="0.2"/>
    <row r="2" spans="2:6" ht="20.100000000000001" customHeight="1" x14ac:dyDescent="0.25">
      <c r="D2" s="75" t="s">
        <v>226</v>
      </c>
    </row>
    <row r="3" spans="2:6" ht="20.100000000000001" customHeight="1" x14ac:dyDescent="0.25">
      <c r="D3" s="76" t="s">
        <v>352</v>
      </c>
    </row>
    <row r="4" spans="2:6" ht="20.100000000000001" customHeight="1" x14ac:dyDescent="0.2"/>
    <row r="5" spans="2:6" ht="20.100000000000001" customHeight="1" x14ac:dyDescent="0.2"/>
    <row r="6" spans="2:6" ht="20.100000000000001" customHeight="1" x14ac:dyDescent="0.25">
      <c r="B6" s="75" t="s">
        <v>353</v>
      </c>
    </row>
    <row r="7" spans="2:6" ht="27.95" customHeight="1" x14ac:dyDescent="0.2">
      <c r="B7" s="61" t="s">
        <v>354</v>
      </c>
      <c r="C7" s="61" t="s">
        <v>355</v>
      </c>
      <c r="D7" s="61" t="s">
        <v>356</v>
      </c>
      <c r="E7" s="61" t="s">
        <v>357</v>
      </c>
      <c r="F7" s="61" t="s">
        <v>358</v>
      </c>
    </row>
    <row r="8" spans="2:6" ht="20.100000000000001" customHeight="1" x14ac:dyDescent="0.25">
      <c r="B8" s="77" t="s">
        <v>359</v>
      </c>
      <c r="C8" s="78" t="s">
        <v>360</v>
      </c>
      <c r="D8" s="79">
        <f>'BPlen HUB Custos'!$C$25</f>
        <v>29082.33</v>
      </c>
      <c r="E8" s="80">
        <v>1000</v>
      </c>
      <c r="F8" s="79">
        <f>D8/E8</f>
        <v>29.082330000000002</v>
      </c>
    </row>
    <row r="9" spans="2:6" ht="20.100000000000001" customHeight="1" x14ac:dyDescent="0.25">
      <c r="B9" s="81" t="s">
        <v>361</v>
      </c>
      <c r="C9" s="82" t="s">
        <v>362</v>
      </c>
      <c r="D9" s="83">
        <f>'MentoCoach Custos'!$B$5</f>
        <v>6000</v>
      </c>
      <c r="E9" s="84">
        <v>20</v>
      </c>
      <c r="F9" s="83">
        <f>D9/E9</f>
        <v>300</v>
      </c>
    </row>
    <row r="10" spans="2:6" ht="20.100000000000001" customHeight="1" x14ac:dyDescent="0.25">
      <c r="B10" s="77" t="s">
        <v>363</v>
      </c>
      <c r="C10" s="78" t="s">
        <v>364</v>
      </c>
      <c r="D10" s="79">
        <f>'Referencias de Custos'!$C$25</f>
        <v>5000</v>
      </c>
      <c r="E10" s="80">
        <v>25</v>
      </c>
      <c r="F10" s="79">
        <f>D10/E10</f>
        <v>200</v>
      </c>
    </row>
    <row r="11" spans="2:6" ht="20.100000000000001" customHeight="1" x14ac:dyDescent="0.25">
      <c r="B11" s="77" t="s">
        <v>251</v>
      </c>
      <c r="C11" s="78" t="s">
        <v>365</v>
      </c>
      <c r="D11" s="79">
        <f>'Referencias de Custos'!D26</f>
        <v>5000</v>
      </c>
      <c r="E11" s="80">
        <v>25</v>
      </c>
      <c r="F11" s="79">
        <f>D11/E11</f>
        <v>200</v>
      </c>
    </row>
    <row r="12" spans="2:6" ht="20.100000000000001" customHeight="1" x14ac:dyDescent="0.25">
      <c r="B12" s="81" t="s">
        <v>366</v>
      </c>
      <c r="C12" s="82" t="s">
        <v>367</v>
      </c>
      <c r="D12" s="83">
        <f>'Custos gerais'!$C$4</f>
        <v>24000</v>
      </c>
      <c r="E12" s="84">
        <v>300</v>
      </c>
      <c r="F12" s="83">
        <f>D12/E12</f>
        <v>80</v>
      </c>
    </row>
    <row r="13" spans="2:6" ht="20.100000000000001" customHeight="1" x14ac:dyDescent="0.25">
      <c r="B13" s="85" t="s">
        <v>368</v>
      </c>
      <c r="C13" s="86"/>
      <c r="D13" s="87">
        <f>SUM(D8:D12)</f>
        <v>69082.33</v>
      </c>
      <c r="E13" s="86"/>
      <c r="F13" s="86"/>
    </row>
    <row r="14" spans="2:6" ht="20.100000000000001" customHeight="1" x14ac:dyDescent="0.2"/>
    <row r="15" spans="2:6" ht="20.100000000000001" customHeight="1" x14ac:dyDescent="0.2"/>
    <row r="16" spans="2:6" ht="20.100000000000001" customHeight="1" x14ac:dyDescent="0.25">
      <c r="B16" s="75" t="s">
        <v>369</v>
      </c>
    </row>
    <row r="17" spans="2:7" ht="27.95" customHeight="1" x14ac:dyDescent="0.2">
      <c r="B17" s="61" t="s">
        <v>370</v>
      </c>
      <c r="C17" s="61" t="s">
        <v>371</v>
      </c>
      <c r="D17" s="61" t="s">
        <v>372</v>
      </c>
      <c r="E17" s="61" t="s">
        <v>373</v>
      </c>
      <c r="F17" s="61" t="s">
        <v>374</v>
      </c>
      <c r="G17" s="61" t="s">
        <v>375</v>
      </c>
    </row>
    <row r="18" spans="2:7" ht="20.100000000000001" customHeight="1" x14ac:dyDescent="0.25">
      <c r="B18" s="77" t="s">
        <v>376</v>
      </c>
      <c r="C18" s="88" t="s">
        <v>377</v>
      </c>
      <c r="D18" s="80">
        <v>25</v>
      </c>
      <c r="E18" s="89" t="str">
        <f ca="1">E18/3</f>
        <v/>
      </c>
      <c r="F18" s="78" t="s">
        <v>378</v>
      </c>
      <c r="G18" s="78" t="s">
        <v>379</v>
      </c>
    </row>
    <row r="19" spans="2:7" ht="20.100000000000001" customHeight="1" x14ac:dyDescent="0.25">
      <c r="B19" s="81" t="s">
        <v>380</v>
      </c>
      <c r="C19" s="90" t="s">
        <v>381</v>
      </c>
      <c r="D19" s="84">
        <v>300</v>
      </c>
      <c r="E19" s="91" t="str">
        <f ca="1">(E19-E18)/9</f>
        <v/>
      </c>
      <c r="F19" s="82" t="s">
        <v>382</v>
      </c>
      <c r="G19" s="82" t="s">
        <v>383</v>
      </c>
    </row>
    <row r="20" spans="2:7" ht="20.100000000000001" customHeight="1" x14ac:dyDescent="0.25">
      <c r="B20" s="77" t="s">
        <v>384</v>
      </c>
      <c r="C20" s="88" t="s">
        <v>385</v>
      </c>
      <c r="D20" s="80">
        <v>1000</v>
      </c>
      <c r="E20" s="89" t="str">
        <f ca="1">(E20-E19)/12</f>
        <v/>
      </c>
      <c r="F20" s="78" t="s">
        <v>386</v>
      </c>
      <c r="G20" s="78" t="s">
        <v>387</v>
      </c>
    </row>
    <row r="21" spans="2:7" ht="20.100000000000001" customHeight="1" x14ac:dyDescent="0.25">
      <c r="B21" s="85" t="s">
        <v>388</v>
      </c>
      <c r="C21" s="92" t="s">
        <v>389</v>
      </c>
      <c r="D21" s="93" t="str">
        <f ca="1">E20</f>
        <v/>
      </c>
      <c r="E21" s="94" t="str">
        <f ca="1">E21/24</f>
        <v/>
      </c>
      <c r="F21" s="85" t="s">
        <v>390</v>
      </c>
      <c r="G21" s="86"/>
    </row>
    <row r="22" spans="2:7" ht="20.100000000000001" customHeight="1" x14ac:dyDescent="0.2"/>
    <row r="23" spans="2:7" ht="20.100000000000001" customHeight="1" x14ac:dyDescent="0.2"/>
    <row r="24" spans="2:7" ht="20.100000000000001" customHeight="1" x14ac:dyDescent="0.25">
      <c r="B24" s="75" t="s">
        <v>391</v>
      </c>
    </row>
    <row r="25" spans="2:7" ht="27.95" customHeight="1" x14ac:dyDescent="0.2">
      <c r="B25" s="61" t="s">
        <v>392</v>
      </c>
      <c r="C25" s="61" t="s">
        <v>393</v>
      </c>
      <c r="D25" s="61" t="s">
        <v>394</v>
      </c>
      <c r="E25" s="61" t="s">
        <v>395</v>
      </c>
      <c r="F25" s="61" t="s">
        <v>396</v>
      </c>
    </row>
    <row r="26" spans="2:7" ht="20.100000000000001" customHeight="1" x14ac:dyDescent="0.25">
      <c r="B26" s="77" t="s">
        <v>305</v>
      </c>
      <c r="C26" s="95">
        <f>'Pacotes de Serviço'!$G$8</f>
        <v>895.44</v>
      </c>
      <c r="D26" s="96">
        <v>0.1</v>
      </c>
      <c r="E26" s="80" t="str">
        <f ca="1">D26*$E$31</f>
        <v/>
      </c>
      <c r="F26" s="95" t="str">
        <f ca="1">C26*E26</f>
        <v/>
      </c>
    </row>
    <row r="27" spans="2:7" ht="20.100000000000001" customHeight="1" x14ac:dyDescent="0.25">
      <c r="B27" s="81" t="s">
        <v>306</v>
      </c>
      <c r="C27" s="97">
        <f>'Pacotes de Serviço'!$G$9</f>
        <v>2341.84</v>
      </c>
      <c r="D27" s="98">
        <v>0.3</v>
      </c>
      <c r="E27" s="84" t="str">
        <f ca="1">D27*$E$31</f>
        <v/>
      </c>
      <c r="F27" s="97" t="str">
        <f ca="1">C27*E27</f>
        <v/>
      </c>
    </row>
    <row r="28" spans="2:7" ht="20.100000000000001" customHeight="1" x14ac:dyDescent="0.25">
      <c r="B28" s="77" t="s">
        <v>308</v>
      </c>
      <c r="C28" s="95">
        <f>'Pacotes de Serviço'!$G$10</f>
        <v>3925.68</v>
      </c>
      <c r="D28" s="96">
        <v>0.35</v>
      </c>
      <c r="E28" s="80" t="str">
        <f ca="1">D28*$E$31</f>
        <v/>
      </c>
      <c r="F28" s="95" t="str">
        <f ca="1">C28*E28</f>
        <v/>
      </c>
    </row>
    <row r="29" spans="2:7" ht="20.100000000000001" customHeight="1" x14ac:dyDescent="0.25">
      <c r="B29" s="81" t="s">
        <v>310</v>
      </c>
      <c r="C29" s="97">
        <f>'Pacotes de Serviço'!$G$11</f>
        <v>14744.23</v>
      </c>
      <c r="D29" s="98">
        <v>0.2</v>
      </c>
      <c r="E29" s="84" t="str">
        <f ca="1">D29*$E$31</f>
        <v/>
      </c>
      <c r="F29" s="97" t="str">
        <f ca="1">C29*E29</f>
        <v/>
      </c>
    </row>
    <row r="30" spans="2:7" ht="20.100000000000001" customHeight="1" x14ac:dyDescent="0.25">
      <c r="B30" s="77" t="s">
        <v>312</v>
      </c>
      <c r="C30" s="95">
        <f>'Pacotes de Serviço'!$G$12</f>
        <v>22859.79</v>
      </c>
      <c r="D30" s="96">
        <v>0.05</v>
      </c>
      <c r="E30" s="80" t="str">
        <f ca="1">D30*$E$31</f>
        <v/>
      </c>
      <c r="F30" s="95" t="str">
        <f ca="1">C30*E30</f>
        <v/>
      </c>
    </row>
    <row r="31" spans="2:7" ht="20.100000000000001" customHeight="1" x14ac:dyDescent="0.25">
      <c r="B31" s="85" t="s">
        <v>397</v>
      </c>
      <c r="C31" s="86"/>
      <c r="D31" s="99">
        <f>SUM(D26:D30)</f>
        <v>1</v>
      </c>
      <c r="E31" s="93" t="str">
        <f ca="1">E21</f>
        <v/>
      </c>
      <c r="F31" s="100" t="str">
        <f ca="1">SUM(F26:F30)</f>
        <v/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>
      <selection activeCell="B9" sqref="B9:B11"/>
    </sheetView>
  </sheetViews>
  <sheetFormatPr defaultRowHeight="15.75" x14ac:dyDescent="0.25"/>
  <cols>
    <col min="1" max="1" width="9" style="70"/>
    <col min="4" max="4" width="32.75" bestFit="1" customWidth="1"/>
  </cols>
  <sheetData>
    <row r="1" spans="1:5" x14ac:dyDescent="0.25">
      <c r="A1" t="s">
        <v>457</v>
      </c>
      <c r="B1" t="s">
        <v>0</v>
      </c>
      <c r="C1" t="s">
        <v>2</v>
      </c>
      <c r="D1" t="s">
        <v>398</v>
      </c>
    </row>
    <row r="2" spans="1:5" x14ac:dyDescent="0.25">
      <c r="A2" s="70" t="s">
        <v>459</v>
      </c>
      <c r="B2" t="s">
        <v>7</v>
      </c>
      <c r="C2">
        <v>2</v>
      </c>
      <c r="D2" t="s">
        <v>8</v>
      </c>
    </row>
    <row r="3" spans="1:5" x14ac:dyDescent="0.25">
      <c r="A3" s="70" t="s">
        <v>459</v>
      </c>
      <c r="B3" t="s">
        <v>24</v>
      </c>
      <c r="C3">
        <v>1</v>
      </c>
      <c r="D3" t="s">
        <v>25</v>
      </c>
    </row>
    <row r="4" spans="1:5" x14ac:dyDescent="0.25">
      <c r="A4" s="70" t="s">
        <v>459</v>
      </c>
      <c r="B4" t="s">
        <v>73</v>
      </c>
      <c r="C4">
        <v>3</v>
      </c>
      <c r="D4" t="s">
        <v>74</v>
      </c>
    </row>
    <row r="5" spans="1:5" x14ac:dyDescent="0.25">
      <c r="A5" s="70" t="s">
        <v>459</v>
      </c>
      <c r="B5" t="s">
        <v>95</v>
      </c>
      <c r="C5">
        <v>4</v>
      </c>
      <c r="D5" t="s">
        <v>96</v>
      </c>
    </row>
    <row r="6" spans="1:5" x14ac:dyDescent="0.25">
      <c r="A6" s="70" t="s">
        <v>459</v>
      </c>
      <c r="B6" t="s">
        <v>124</v>
      </c>
      <c r="C6">
        <v>5</v>
      </c>
      <c r="D6" t="s">
        <v>125</v>
      </c>
    </row>
    <row r="7" spans="1:5" x14ac:dyDescent="0.25">
      <c r="A7" s="70" t="s">
        <v>459</v>
      </c>
      <c r="B7" t="s">
        <v>138</v>
      </c>
      <c r="C7">
        <v>6</v>
      </c>
      <c r="D7" t="s">
        <v>139</v>
      </c>
    </row>
    <row r="8" spans="1:5" x14ac:dyDescent="0.25">
      <c r="A8" s="70" t="s">
        <v>459</v>
      </c>
      <c r="B8" t="s">
        <v>158</v>
      </c>
      <c r="C8">
        <v>7</v>
      </c>
      <c r="D8" t="s">
        <v>159</v>
      </c>
    </row>
    <row r="9" spans="1:5" x14ac:dyDescent="0.25">
      <c r="A9" s="70" t="s">
        <v>458</v>
      </c>
      <c r="B9" t="s">
        <v>467</v>
      </c>
      <c r="C9">
        <v>1</v>
      </c>
      <c r="D9" t="s">
        <v>437</v>
      </c>
    </row>
    <row r="10" spans="1:5" x14ac:dyDescent="0.25">
      <c r="A10" s="70" t="s">
        <v>458</v>
      </c>
      <c r="B10" t="s">
        <v>468</v>
      </c>
      <c r="C10">
        <v>2</v>
      </c>
      <c r="D10" s="70" t="s">
        <v>460</v>
      </c>
      <c r="E10" s="70"/>
    </row>
    <row r="11" spans="1:5" x14ac:dyDescent="0.25">
      <c r="A11" s="70" t="s">
        <v>458</v>
      </c>
      <c r="B11" t="s">
        <v>469</v>
      </c>
      <c r="C11">
        <v>3</v>
      </c>
      <c r="D11" s="70" t="s">
        <v>461</v>
      </c>
      <c r="E11" s="70"/>
    </row>
  </sheetData>
  <phoneticPr fontId="1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1"/>
  <sheetViews>
    <sheetView tabSelected="1" topLeftCell="A46" workbookViewId="0">
      <selection activeCell="K58" sqref="K58"/>
    </sheetView>
  </sheetViews>
  <sheetFormatPr defaultRowHeight="15.75" x14ac:dyDescent="0.25"/>
  <cols>
    <col min="2" max="2" width="9" style="70" customWidth="1"/>
    <col min="5" max="5" width="32.375" customWidth="1"/>
  </cols>
  <sheetData>
    <row r="1" spans="1:8" x14ac:dyDescent="0.25">
      <c r="A1" s="70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</row>
    <row r="2" spans="1:8" x14ac:dyDescent="0.25">
      <c r="A2" s="70" t="s">
        <v>7</v>
      </c>
      <c r="B2" s="70" t="s">
        <v>8</v>
      </c>
      <c r="C2" s="70" t="s">
        <v>9</v>
      </c>
      <c r="D2" s="70">
        <v>1</v>
      </c>
      <c r="E2" s="70" t="s">
        <v>10</v>
      </c>
      <c r="F2" s="70" t="s">
        <v>11</v>
      </c>
      <c r="G2" s="70" t="s">
        <v>12</v>
      </c>
      <c r="H2" s="70" t="s">
        <v>13</v>
      </c>
    </row>
    <row r="3" spans="1:8" x14ac:dyDescent="0.25">
      <c r="A3" s="70" t="s">
        <v>7</v>
      </c>
      <c r="B3" s="70" t="s">
        <v>8</v>
      </c>
      <c r="C3" s="70" t="s">
        <v>14</v>
      </c>
      <c r="D3" s="70">
        <v>2</v>
      </c>
      <c r="E3" s="70" t="s">
        <v>15</v>
      </c>
      <c r="F3" s="70" t="s">
        <v>16</v>
      </c>
      <c r="G3" s="70" t="s">
        <v>17</v>
      </c>
      <c r="H3" s="70" t="s">
        <v>18</v>
      </c>
    </row>
    <row r="4" spans="1:8" x14ac:dyDescent="0.25">
      <c r="A4" s="70" t="s">
        <v>7</v>
      </c>
      <c r="B4" s="70" t="s">
        <v>8</v>
      </c>
      <c r="C4" s="70" t="s">
        <v>19</v>
      </c>
      <c r="D4" s="70">
        <v>3</v>
      </c>
      <c r="E4" s="70" t="s">
        <v>20</v>
      </c>
      <c r="F4" s="70" t="s">
        <v>21</v>
      </c>
      <c r="G4" s="70" t="s">
        <v>22</v>
      </c>
      <c r="H4" s="70" t="s">
        <v>23</v>
      </c>
    </row>
    <row r="5" spans="1:8" s="70" customFormat="1" x14ac:dyDescent="0.25">
      <c r="A5" s="70" t="s">
        <v>24</v>
      </c>
      <c r="B5" s="70" t="s">
        <v>25</v>
      </c>
      <c r="C5" s="70" t="s">
        <v>26</v>
      </c>
      <c r="D5" s="70">
        <v>1</v>
      </c>
      <c r="E5" s="70" t="s">
        <v>27</v>
      </c>
      <c r="F5" s="70" t="s">
        <v>16</v>
      </c>
      <c r="G5" s="70" t="s">
        <v>28</v>
      </c>
      <c r="H5" s="70" t="s">
        <v>29</v>
      </c>
    </row>
    <row r="6" spans="1:8" s="70" customFormat="1" x14ac:dyDescent="0.25">
      <c r="A6" s="70" t="s">
        <v>24</v>
      </c>
      <c r="B6" s="70" t="s">
        <v>25</v>
      </c>
      <c r="C6" s="70" t="s">
        <v>30</v>
      </c>
      <c r="D6" s="70" t="s">
        <v>31</v>
      </c>
      <c r="E6" s="70" t="s">
        <v>32</v>
      </c>
      <c r="F6" s="70" t="s">
        <v>16</v>
      </c>
      <c r="G6" s="70" t="s">
        <v>33</v>
      </c>
      <c r="H6" s="70" t="s">
        <v>34</v>
      </c>
    </row>
    <row r="7" spans="1:8" s="70" customFormat="1" x14ac:dyDescent="0.25">
      <c r="A7" s="70" t="s">
        <v>24</v>
      </c>
      <c r="B7" s="70" t="s">
        <v>25</v>
      </c>
      <c r="C7" s="70" t="s">
        <v>35</v>
      </c>
      <c r="D7" s="70" t="s">
        <v>36</v>
      </c>
      <c r="E7" s="70" t="s">
        <v>32</v>
      </c>
      <c r="F7" s="70" t="s">
        <v>16</v>
      </c>
      <c r="G7" s="70" t="s">
        <v>37</v>
      </c>
      <c r="H7" s="70" t="s">
        <v>38</v>
      </c>
    </row>
    <row r="8" spans="1:8" s="70" customFormat="1" x14ac:dyDescent="0.25">
      <c r="A8" s="70" t="s">
        <v>24</v>
      </c>
      <c r="B8" s="70" t="s">
        <v>25</v>
      </c>
      <c r="C8" s="70" t="s">
        <v>39</v>
      </c>
      <c r="D8" s="70" t="s">
        <v>40</v>
      </c>
      <c r="E8" s="70" t="s">
        <v>32</v>
      </c>
      <c r="F8" s="70" t="s">
        <v>16</v>
      </c>
      <c r="G8" s="70" t="s">
        <v>41</v>
      </c>
      <c r="H8" s="70" t="s">
        <v>42</v>
      </c>
    </row>
    <row r="9" spans="1:8" s="70" customFormat="1" x14ac:dyDescent="0.25">
      <c r="A9" s="70" t="s">
        <v>24</v>
      </c>
      <c r="B9" s="70" t="s">
        <v>25</v>
      </c>
      <c r="C9" s="70" t="s">
        <v>43</v>
      </c>
      <c r="D9" s="70" t="s">
        <v>44</v>
      </c>
      <c r="E9" s="70" t="s">
        <v>32</v>
      </c>
      <c r="F9" s="70" t="s">
        <v>16</v>
      </c>
      <c r="G9" s="70" t="s">
        <v>45</v>
      </c>
      <c r="H9" s="70" t="s">
        <v>46</v>
      </c>
    </row>
    <row r="10" spans="1:8" x14ac:dyDescent="0.25">
      <c r="A10" s="70" t="s">
        <v>24</v>
      </c>
      <c r="B10" s="70" t="s">
        <v>25</v>
      </c>
      <c r="C10" s="70" t="s">
        <v>47</v>
      </c>
      <c r="D10" s="70" t="s">
        <v>48</v>
      </c>
      <c r="E10" s="70" t="s">
        <v>49</v>
      </c>
      <c r="F10" s="70" t="s">
        <v>16</v>
      </c>
      <c r="G10" s="70" t="s">
        <v>50</v>
      </c>
      <c r="H10" s="70" t="s">
        <v>51</v>
      </c>
    </row>
    <row r="11" spans="1:8" s="70" customFormat="1" x14ac:dyDescent="0.25">
      <c r="A11" s="70" t="s">
        <v>24</v>
      </c>
      <c r="B11" s="70" t="s">
        <v>25</v>
      </c>
      <c r="C11" s="70" t="s">
        <v>52</v>
      </c>
      <c r="D11" s="70" t="s">
        <v>53</v>
      </c>
      <c r="E11" s="70" t="s">
        <v>49</v>
      </c>
      <c r="F11" s="70" t="s">
        <v>16</v>
      </c>
      <c r="G11" s="70" t="s">
        <v>54</v>
      </c>
      <c r="H11" s="70" t="s">
        <v>55</v>
      </c>
    </row>
    <row r="12" spans="1:8" s="70" customFormat="1" x14ac:dyDescent="0.25">
      <c r="A12" s="70" t="s">
        <v>24</v>
      </c>
      <c r="B12" s="70" t="s">
        <v>25</v>
      </c>
      <c r="C12" s="70" t="s">
        <v>56</v>
      </c>
      <c r="D12" s="70" t="s">
        <v>57</v>
      </c>
      <c r="E12" s="70" t="s">
        <v>49</v>
      </c>
      <c r="F12" s="70" t="s">
        <v>16</v>
      </c>
      <c r="G12" s="70" t="s">
        <v>58</v>
      </c>
      <c r="H12" s="70" t="s">
        <v>59</v>
      </c>
    </row>
    <row r="13" spans="1:8" x14ac:dyDescent="0.25">
      <c r="A13" s="70" t="s">
        <v>24</v>
      </c>
      <c r="B13" s="70" t="s">
        <v>25</v>
      </c>
      <c r="C13" s="70" t="s">
        <v>60</v>
      </c>
      <c r="D13" s="70">
        <v>4</v>
      </c>
      <c r="E13" s="70" t="s">
        <v>61</v>
      </c>
      <c r="F13" s="70" t="s">
        <v>16</v>
      </c>
      <c r="G13" s="70" t="s">
        <v>62</v>
      </c>
      <c r="H13" s="70" t="s">
        <v>63</v>
      </c>
    </row>
    <row r="14" spans="1:8" s="70" customFormat="1" x14ac:dyDescent="0.25">
      <c r="A14" s="70" t="s">
        <v>24</v>
      </c>
      <c r="B14" s="70" t="s">
        <v>25</v>
      </c>
      <c r="C14" s="70" t="s">
        <v>64</v>
      </c>
      <c r="D14" s="70" t="s">
        <v>65</v>
      </c>
      <c r="E14" s="70" t="s">
        <v>66</v>
      </c>
      <c r="F14" s="70" t="s">
        <v>16</v>
      </c>
      <c r="G14" s="70" t="s">
        <v>67</v>
      </c>
      <c r="H14" s="70" t="s">
        <v>68</v>
      </c>
    </row>
    <row r="15" spans="1:8" x14ac:dyDescent="0.25">
      <c r="A15" s="70" t="s">
        <v>24</v>
      </c>
      <c r="B15" s="70" t="s">
        <v>25</v>
      </c>
      <c r="C15" s="70" t="s">
        <v>69</v>
      </c>
      <c r="D15" s="70" t="s">
        <v>70</v>
      </c>
      <c r="E15" s="70" t="s">
        <v>66</v>
      </c>
      <c r="F15" s="70" t="s">
        <v>21</v>
      </c>
      <c r="G15" s="70" t="s">
        <v>71</v>
      </c>
      <c r="H15" s="70" t="s">
        <v>72</v>
      </c>
    </row>
    <row r="16" spans="1:8" s="70" customFormat="1" x14ac:dyDescent="0.25">
      <c r="A16" s="70" t="s">
        <v>73</v>
      </c>
      <c r="B16" s="70" t="s">
        <v>74</v>
      </c>
      <c r="C16" s="70" t="s">
        <v>75</v>
      </c>
      <c r="D16" s="70">
        <v>1</v>
      </c>
      <c r="E16" s="70" t="s">
        <v>76</v>
      </c>
      <c r="F16" s="70" t="s">
        <v>16</v>
      </c>
      <c r="G16" s="70" t="s">
        <v>77</v>
      </c>
      <c r="H16" s="70" t="s">
        <v>78</v>
      </c>
    </row>
    <row r="17" spans="1:8" s="70" customFormat="1" x14ac:dyDescent="0.25">
      <c r="A17" s="70" t="s">
        <v>73</v>
      </c>
      <c r="B17" s="70" t="s">
        <v>74</v>
      </c>
      <c r="C17" s="70" t="s">
        <v>79</v>
      </c>
      <c r="D17" s="70">
        <v>2</v>
      </c>
      <c r="E17" s="70" t="s">
        <v>80</v>
      </c>
      <c r="F17" s="70" t="s">
        <v>16</v>
      </c>
      <c r="G17" s="70" t="s">
        <v>81</v>
      </c>
      <c r="H17" s="70" t="s">
        <v>82</v>
      </c>
    </row>
    <row r="18" spans="1:8" x14ac:dyDescent="0.25">
      <c r="A18" s="70" t="s">
        <v>73</v>
      </c>
      <c r="B18" s="70" t="s">
        <v>74</v>
      </c>
      <c r="C18" s="70" t="s">
        <v>83</v>
      </c>
      <c r="D18" s="70">
        <v>3</v>
      </c>
      <c r="E18" s="70" t="s">
        <v>84</v>
      </c>
      <c r="F18" s="70" t="s">
        <v>16</v>
      </c>
      <c r="G18" s="70" t="s">
        <v>85</v>
      </c>
      <c r="H18" s="70" t="s">
        <v>86</v>
      </c>
    </row>
    <row r="19" spans="1:8" s="70" customFormat="1" x14ac:dyDescent="0.25">
      <c r="A19" s="70" t="s">
        <v>73</v>
      </c>
      <c r="B19" s="70" t="s">
        <v>74</v>
      </c>
      <c r="C19" s="70" t="s">
        <v>87</v>
      </c>
      <c r="D19" s="70">
        <v>4</v>
      </c>
      <c r="E19" s="70" t="s">
        <v>88</v>
      </c>
      <c r="F19" s="70" t="s">
        <v>16</v>
      </c>
      <c r="G19" s="70" t="s">
        <v>89</v>
      </c>
      <c r="H19" s="70" t="s">
        <v>90</v>
      </c>
    </row>
    <row r="20" spans="1:8" s="70" customFormat="1" x14ac:dyDescent="0.25">
      <c r="A20" s="70" t="s">
        <v>73</v>
      </c>
      <c r="B20" s="70" t="s">
        <v>74</v>
      </c>
      <c r="C20" s="70" t="s">
        <v>91</v>
      </c>
      <c r="D20" s="70">
        <v>5</v>
      </c>
      <c r="E20" s="70" t="s">
        <v>92</v>
      </c>
      <c r="F20" s="70" t="s">
        <v>21</v>
      </c>
      <c r="G20" s="70" t="s">
        <v>93</v>
      </c>
      <c r="H20" s="70" t="s">
        <v>94</v>
      </c>
    </row>
    <row r="21" spans="1:8" s="70" customFormat="1" x14ac:dyDescent="0.25">
      <c r="A21" s="70" t="s">
        <v>95</v>
      </c>
      <c r="B21" s="70" t="s">
        <v>96</v>
      </c>
      <c r="C21" s="70" t="s">
        <v>97</v>
      </c>
      <c r="D21" s="70">
        <v>1</v>
      </c>
      <c r="E21" s="70" t="s">
        <v>98</v>
      </c>
      <c r="F21" s="70" t="s">
        <v>16</v>
      </c>
      <c r="G21" s="70" t="s">
        <v>99</v>
      </c>
      <c r="H21" s="70" t="s">
        <v>100</v>
      </c>
    </row>
    <row r="22" spans="1:8" s="70" customFormat="1" x14ac:dyDescent="0.25">
      <c r="A22" s="70" t="s">
        <v>95</v>
      </c>
      <c r="B22" s="70" t="s">
        <v>96</v>
      </c>
      <c r="C22" s="70" t="s">
        <v>101</v>
      </c>
      <c r="D22" s="70">
        <v>2</v>
      </c>
      <c r="E22" s="70" t="s">
        <v>102</v>
      </c>
      <c r="F22" s="70" t="s">
        <v>16</v>
      </c>
      <c r="G22" s="70" t="s">
        <v>103</v>
      </c>
      <c r="H22" s="70" t="s">
        <v>34</v>
      </c>
    </row>
    <row r="23" spans="1:8" s="70" customFormat="1" x14ac:dyDescent="0.25">
      <c r="A23" s="70" t="s">
        <v>95</v>
      </c>
      <c r="B23" s="70" t="s">
        <v>96</v>
      </c>
      <c r="C23" s="70" t="s">
        <v>104</v>
      </c>
      <c r="D23" s="70">
        <v>3</v>
      </c>
      <c r="E23" s="70" t="s">
        <v>105</v>
      </c>
      <c r="F23" s="70" t="s">
        <v>16</v>
      </c>
      <c r="G23" s="70" t="s">
        <v>106</v>
      </c>
      <c r="H23" s="70" t="s">
        <v>107</v>
      </c>
    </row>
    <row r="24" spans="1:8" x14ac:dyDescent="0.25">
      <c r="A24" s="70" t="s">
        <v>95</v>
      </c>
      <c r="B24" s="70" t="s">
        <v>96</v>
      </c>
      <c r="C24" s="70" t="s">
        <v>108</v>
      </c>
      <c r="D24" s="70">
        <v>4</v>
      </c>
      <c r="E24" s="70" t="s">
        <v>109</v>
      </c>
      <c r="F24" s="70" t="s">
        <v>16</v>
      </c>
      <c r="G24" s="70" t="s">
        <v>110</v>
      </c>
      <c r="H24" s="70" t="s">
        <v>111</v>
      </c>
    </row>
    <row r="25" spans="1:8" x14ac:dyDescent="0.25">
      <c r="A25" s="70" t="s">
        <v>95</v>
      </c>
      <c r="B25" s="70" t="s">
        <v>96</v>
      </c>
      <c r="C25" s="70" t="s">
        <v>112</v>
      </c>
      <c r="D25" s="70">
        <v>5</v>
      </c>
      <c r="E25" s="70" t="s">
        <v>113</v>
      </c>
      <c r="F25" s="70" t="s">
        <v>16</v>
      </c>
      <c r="G25" s="70" t="s">
        <v>114</v>
      </c>
      <c r="H25" s="70" t="s">
        <v>115</v>
      </c>
    </row>
    <row r="26" spans="1:8" x14ac:dyDescent="0.25">
      <c r="A26" s="70" t="s">
        <v>95</v>
      </c>
      <c r="B26" s="70" t="s">
        <v>96</v>
      </c>
      <c r="C26" s="70" t="s">
        <v>116</v>
      </c>
      <c r="D26" s="70" t="s">
        <v>117</v>
      </c>
      <c r="E26" s="70" t="s">
        <v>118</v>
      </c>
      <c r="F26" s="70" t="s">
        <v>16</v>
      </c>
      <c r="G26" s="70" t="s">
        <v>119</v>
      </c>
      <c r="H26" s="70" t="s">
        <v>120</v>
      </c>
    </row>
    <row r="27" spans="1:8" x14ac:dyDescent="0.25">
      <c r="A27" s="70" t="s">
        <v>95</v>
      </c>
      <c r="B27" s="70" t="s">
        <v>96</v>
      </c>
      <c r="C27" s="70" t="s">
        <v>116</v>
      </c>
      <c r="D27" s="70" t="s">
        <v>121</v>
      </c>
      <c r="E27" s="70" t="s">
        <v>118</v>
      </c>
      <c r="F27" s="70" t="s">
        <v>21</v>
      </c>
      <c r="G27" s="70" t="s">
        <v>122</v>
      </c>
      <c r="H27" s="70" t="s">
        <v>123</v>
      </c>
    </row>
    <row r="28" spans="1:8" x14ac:dyDescent="0.25">
      <c r="A28" s="70" t="s">
        <v>124</v>
      </c>
      <c r="B28" s="70" t="s">
        <v>125</v>
      </c>
      <c r="C28" s="70" t="s">
        <v>126</v>
      </c>
      <c r="D28" s="70">
        <v>1</v>
      </c>
      <c r="E28" s="70" t="s">
        <v>127</v>
      </c>
      <c r="F28" s="70" t="s">
        <v>21</v>
      </c>
      <c r="G28" s="70" t="s">
        <v>128</v>
      </c>
      <c r="H28" s="70" t="s">
        <v>127</v>
      </c>
    </row>
    <row r="29" spans="1:8" x14ac:dyDescent="0.25">
      <c r="A29" s="70" t="s">
        <v>124</v>
      </c>
      <c r="B29" s="70" t="s">
        <v>125</v>
      </c>
      <c r="C29" s="70" t="s">
        <v>126</v>
      </c>
      <c r="D29" s="70">
        <v>2</v>
      </c>
      <c r="E29" s="70" t="s">
        <v>129</v>
      </c>
      <c r="F29" s="70" t="s">
        <v>21</v>
      </c>
      <c r="G29" s="70" t="s">
        <v>128</v>
      </c>
      <c r="H29" s="70" t="s">
        <v>129</v>
      </c>
    </row>
    <row r="30" spans="1:8" s="70" customFormat="1" x14ac:dyDescent="0.25">
      <c r="A30" s="70" t="s">
        <v>124</v>
      </c>
      <c r="B30" s="70" t="s">
        <v>125</v>
      </c>
      <c r="C30" s="70" t="s">
        <v>126</v>
      </c>
      <c r="D30" s="70">
        <v>3</v>
      </c>
      <c r="E30" s="70" t="s">
        <v>130</v>
      </c>
      <c r="F30" s="70" t="s">
        <v>21</v>
      </c>
      <c r="G30" s="70" t="s">
        <v>128</v>
      </c>
      <c r="H30" s="70" t="s">
        <v>130</v>
      </c>
    </row>
    <row r="31" spans="1:8" s="70" customFormat="1" x14ac:dyDescent="0.25">
      <c r="A31" s="70" t="s">
        <v>124</v>
      </c>
      <c r="B31" s="70" t="s">
        <v>125</v>
      </c>
      <c r="C31" s="70" t="s">
        <v>126</v>
      </c>
      <c r="D31" s="70">
        <v>4</v>
      </c>
      <c r="E31" s="70" t="s">
        <v>131</v>
      </c>
      <c r="F31" s="70" t="s">
        <v>21</v>
      </c>
      <c r="G31" s="70" t="s">
        <v>128</v>
      </c>
      <c r="H31" s="70" t="s">
        <v>131</v>
      </c>
    </row>
    <row r="32" spans="1:8" s="70" customFormat="1" x14ac:dyDescent="0.25">
      <c r="A32" s="70" t="s">
        <v>124</v>
      </c>
      <c r="B32" s="70" t="s">
        <v>125</v>
      </c>
      <c r="C32" s="70" t="s">
        <v>126</v>
      </c>
      <c r="D32" s="70">
        <v>5</v>
      </c>
      <c r="E32" s="70" t="s">
        <v>132</v>
      </c>
      <c r="F32" s="70" t="s">
        <v>21</v>
      </c>
      <c r="G32" s="70" t="s">
        <v>128</v>
      </c>
      <c r="H32" s="70" t="s">
        <v>132</v>
      </c>
    </row>
    <row r="33" spans="1:8" s="70" customFormat="1" x14ac:dyDescent="0.25">
      <c r="A33" s="70" t="s">
        <v>124</v>
      </c>
      <c r="B33" s="70" t="s">
        <v>125</v>
      </c>
      <c r="C33" s="70" t="s">
        <v>126</v>
      </c>
      <c r="D33" s="70">
        <v>6</v>
      </c>
      <c r="E33" s="70" t="s">
        <v>133</v>
      </c>
      <c r="F33" s="70" t="s">
        <v>21</v>
      </c>
      <c r="G33" s="70" t="s">
        <v>128</v>
      </c>
      <c r="H33" s="70" t="s">
        <v>133</v>
      </c>
    </row>
    <row r="34" spans="1:8" s="70" customFormat="1" x14ac:dyDescent="0.25">
      <c r="A34" s="70" t="s">
        <v>124</v>
      </c>
      <c r="B34" s="70" t="s">
        <v>125</v>
      </c>
      <c r="C34" s="70" t="s">
        <v>126</v>
      </c>
      <c r="D34" s="70">
        <v>7</v>
      </c>
      <c r="E34" s="70" t="s">
        <v>134</v>
      </c>
      <c r="F34" s="70" t="s">
        <v>21</v>
      </c>
      <c r="G34" s="70" t="s">
        <v>128</v>
      </c>
      <c r="H34" s="70" t="s">
        <v>134</v>
      </c>
    </row>
    <row r="35" spans="1:8" s="70" customFormat="1" x14ac:dyDescent="0.25">
      <c r="A35" s="70" t="s">
        <v>124</v>
      </c>
      <c r="B35" s="70" t="s">
        <v>125</v>
      </c>
      <c r="C35" s="70" t="s">
        <v>126</v>
      </c>
      <c r="D35" s="70">
        <v>8</v>
      </c>
      <c r="E35" s="70" t="s">
        <v>135</v>
      </c>
      <c r="F35" s="70" t="s">
        <v>21</v>
      </c>
      <c r="G35" s="70" t="s">
        <v>128</v>
      </c>
      <c r="H35" s="70" t="s">
        <v>135</v>
      </c>
    </row>
    <row r="36" spans="1:8" s="70" customFormat="1" x14ac:dyDescent="0.25">
      <c r="A36" s="70" t="s">
        <v>124</v>
      </c>
      <c r="B36" s="70" t="s">
        <v>125</v>
      </c>
      <c r="C36" s="70" t="s">
        <v>126</v>
      </c>
      <c r="D36" s="70">
        <v>9</v>
      </c>
      <c r="E36" s="70" t="s">
        <v>136</v>
      </c>
      <c r="F36" s="70" t="s">
        <v>21</v>
      </c>
      <c r="G36" s="70" t="s">
        <v>128</v>
      </c>
      <c r="H36" s="70" t="s">
        <v>136</v>
      </c>
    </row>
    <row r="37" spans="1:8" s="70" customFormat="1" x14ac:dyDescent="0.25">
      <c r="A37" s="70" t="s">
        <v>124</v>
      </c>
      <c r="B37" s="70" t="s">
        <v>125</v>
      </c>
      <c r="C37" s="70" t="s">
        <v>126</v>
      </c>
      <c r="D37" s="70">
        <v>10</v>
      </c>
      <c r="E37" s="70" t="s">
        <v>137</v>
      </c>
      <c r="F37" s="70" t="s">
        <v>21</v>
      </c>
      <c r="G37" s="70" t="s">
        <v>128</v>
      </c>
      <c r="H37" s="70" t="s">
        <v>137</v>
      </c>
    </row>
    <row r="38" spans="1:8" s="70" customFormat="1" x14ac:dyDescent="0.25">
      <c r="A38" s="70" t="s">
        <v>138</v>
      </c>
      <c r="B38" s="70" t="s">
        <v>139</v>
      </c>
      <c r="C38" s="70" t="s">
        <v>75</v>
      </c>
      <c r="D38" s="70" t="s">
        <v>140</v>
      </c>
      <c r="E38" s="70" t="s">
        <v>74</v>
      </c>
      <c r="F38" s="70" t="s">
        <v>16</v>
      </c>
      <c r="G38" s="70" t="s">
        <v>77</v>
      </c>
      <c r="H38" s="70" t="s">
        <v>141</v>
      </c>
    </row>
    <row r="39" spans="1:8" s="70" customFormat="1" x14ac:dyDescent="0.25">
      <c r="A39" s="70" t="s">
        <v>138</v>
      </c>
      <c r="B39" s="70" t="s">
        <v>139</v>
      </c>
      <c r="C39" s="70" t="s">
        <v>79</v>
      </c>
      <c r="D39" s="70" t="s">
        <v>142</v>
      </c>
      <c r="E39" s="70" t="s">
        <v>74</v>
      </c>
      <c r="F39" s="70" t="s">
        <v>16</v>
      </c>
      <c r="G39" s="70" t="s">
        <v>81</v>
      </c>
      <c r="H39" s="70" t="s">
        <v>82</v>
      </c>
    </row>
    <row r="40" spans="1:8" s="70" customFormat="1" x14ac:dyDescent="0.25">
      <c r="A40" s="70" t="s">
        <v>138</v>
      </c>
      <c r="B40" s="70" t="s">
        <v>139</v>
      </c>
      <c r="C40" s="70" t="s">
        <v>83</v>
      </c>
      <c r="D40" s="70" t="s">
        <v>143</v>
      </c>
      <c r="E40" s="70" t="s">
        <v>74</v>
      </c>
      <c r="F40" s="70" t="s">
        <v>16</v>
      </c>
      <c r="G40" s="70" t="s">
        <v>85</v>
      </c>
      <c r="H40" s="70" t="s">
        <v>86</v>
      </c>
    </row>
    <row r="41" spans="1:8" s="70" customFormat="1" x14ac:dyDescent="0.25">
      <c r="A41" s="70" t="s">
        <v>138</v>
      </c>
      <c r="B41" s="70" t="s">
        <v>139</v>
      </c>
      <c r="C41" s="70" t="s">
        <v>87</v>
      </c>
      <c r="D41" s="70" t="s">
        <v>144</v>
      </c>
      <c r="E41" s="70" t="s">
        <v>74</v>
      </c>
      <c r="F41" s="70" t="s">
        <v>16</v>
      </c>
      <c r="G41" s="70" t="s">
        <v>89</v>
      </c>
      <c r="H41" s="70" t="s">
        <v>90</v>
      </c>
    </row>
    <row r="42" spans="1:8" s="70" customFormat="1" x14ac:dyDescent="0.25">
      <c r="A42" s="70" t="s">
        <v>138</v>
      </c>
      <c r="B42" s="70" t="s">
        <v>139</v>
      </c>
      <c r="C42" s="70" t="s">
        <v>91</v>
      </c>
      <c r="D42" s="70" t="s">
        <v>145</v>
      </c>
      <c r="E42" s="70" t="s">
        <v>74</v>
      </c>
      <c r="F42" s="70" t="s">
        <v>21</v>
      </c>
      <c r="G42" s="70" t="s">
        <v>93</v>
      </c>
      <c r="H42" s="70" t="s">
        <v>94</v>
      </c>
    </row>
    <row r="43" spans="1:8" s="70" customFormat="1" x14ac:dyDescent="0.25">
      <c r="A43" s="70" t="s">
        <v>138</v>
      </c>
      <c r="B43" s="70" t="s">
        <v>139</v>
      </c>
      <c r="C43" s="70" t="s">
        <v>146</v>
      </c>
      <c r="D43" s="70">
        <v>2</v>
      </c>
      <c r="E43" s="70" t="s">
        <v>147</v>
      </c>
      <c r="F43" s="70" t="s">
        <v>21</v>
      </c>
      <c r="G43" s="70" t="s">
        <v>148</v>
      </c>
      <c r="H43" s="70" t="s">
        <v>147</v>
      </c>
    </row>
    <row r="44" spans="1:8" s="70" customFormat="1" x14ac:dyDescent="0.25">
      <c r="A44" s="70" t="s">
        <v>138</v>
      </c>
      <c r="B44" s="70" t="s">
        <v>139</v>
      </c>
      <c r="C44" s="70" t="s">
        <v>146</v>
      </c>
      <c r="D44" s="70">
        <v>3</v>
      </c>
      <c r="E44" s="70" t="s">
        <v>149</v>
      </c>
      <c r="F44" s="70" t="s">
        <v>21</v>
      </c>
      <c r="G44" s="70" t="s">
        <v>148</v>
      </c>
      <c r="H44" s="70" t="s">
        <v>149</v>
      </c>
    </row>
    <row r="45" spans="1:8" s="70" customFormat="1" x14ac:dyDescent="0.25">
      <c r="A45" s="70" t="s">
        <v>138</v>
      </c>
      <c r="B45" s="70" t="s">
        <v>139</v>
      </c>
      <c r="C45" s="70" t="s">
        <v>146</v>
      </c>
      <c r="D45" s="70">
        <v>4</v>
      </c>
      <c r="E45" s="70" t="s">
        <v>150</v>
      </c>
      <c r="F45" s="70" t="s">
        <v>21</v>
      </c>
      <c r="G45" s="70" t="s">
        <v>148</v>
      </c>
      <c r="H45" s="70" t="s">
        <v>150</v>
      </c>
    </row>
    <row r="46" spans="1:8" s="70" customFormat="1" x14ac:dyDescent="0.25">
      <c r="A46" s="70" t="s">
        <v>138</v>
      </c>
      <c r="B46" s="70" t="s">
        <v>139</v>
      </c>
      <c r="C46" s="70" t="s">
        <v>146</v>
      </c>
      <c r="D46" s="70">
        <v>5</v>
      </c>
      <c r="E46" s="70" t="s">
        <v>151</v>
      </c>
      <c r="F46" s="70" t="s">
        <v>21</v>
      </c>
      <c r="G46" s="70" t="s">
        <v>148</v>
      </c>
      <c r="H46" s="70" t="s">
        <v>151</v>
      </c>
    </row>
    <row r="47" spans="1:8" s="70" customFormat="1" x14ac:dyDescent="0.25">
      <c r="A47" s="70" t="s">
        <v>138</v>
      </c>
      <c r="B47" s="70" t="s">
        <v>139</v>
      </c>
      <c r="C47" s="70" t="s">
        <v>146</v>
      </c>
      <c r="D47" s="70">
        <v>6</v>
      </c>
      <c r="E47" s="70" t="s">
        <v>152</v>
      </c>
      <c r="F47" s="70" t="s">
        <v>21</v>
      </c>
      <c r="G47" s="70" t="s">
        <v>148</v>
      </c>
      <c r="H47" s="70" t="s">
        <v>152</v>
      </c>
    </row>
    <row r="48" spans="1:8" s="70" customFormat="1" x14ac:dyDescent="0.25">
      <c r="A48" s="70" t="s">
        <v>138</v>
      </c>
      <c r="B48" s="70" t="s">
        <v>139</v>
      </c>
      <c r="C48" s="70" t="s">
        <v>146</v>
      </c>
      <c r="D48" s="70">
        <v>7</v>
      </c>
      <c r="E48" s="70" t="s">
        <v>153</v>
      </c>
      <c r="F48" s="70" t="s">
        <v>21</v>
      </c>
      <c r="G48" s="70" t="s">
        <v>148</v>
      </c>
      <c r="H48" s="70" t="s">
        <v>153</v>
      </c>
    </row>
    <row r="49" spans="1:8" s="70" customFormat="1" x14ac:dyDescent="0.25">
      <c r="A49" s="70" t="s">
        <v>138</v>
      </c>
      <c r="B49" s="70" t="s">
        <v>139</v>
      </c>
      <c r="C49" s="70" t="s">
        <v>146</v>
      </c>
      <c r="D49" s="70">
        <v>8</v>
      </c>
      <c r="E49" s="70" t="s">
        <v>154</v>
      </c>
      <c r="F49" s="70" t="s">
        <v>21</v>
      </c>
      <c r="G49" s="70" t="s">
        <v>148</v>
      </c>
      <c r="H49" s="70" t="s">
        <v>154</v>
      </c>
    </row>
    <row r="50" spans="1:8" s="70" customFormat="1" x14ac:dyDescent="0.25">
      <c r="A50" s="70" t="s">
        <v>138</v>
      </c>
      <c r="B50" s="70" t="s">
        <v>139</v>
      </c>
      <c r="C50" s="70" t="s">
        <v>146</v>
      </c>
      <c r="D50" s="70">
        <v>9</v>
      </c>
      <c r="E50" s="70" t="s">
        <v>155</v>
      </c>
      <c r="F50" s="70" t="s">
        <v>21</v>
      </c>
      <c r="G50" s="70" t="s">
        <v>148</v>
      </c>
      <c r="H50" s="70" t="s">
        <v>155</v>
      </c>
    </row>
    <row r="51" spans="1:8" s="70" customFormat="1" x14ac:dyDescent="0.25">
      <c r="A51" s="70" t="s">
        <v>138</v>
      </c>
      <c r="B51" s="70" t="s">
        <v>139</v>
      </c>
      <c r="C51" s="70" t="s">
        <v>146</v>
      </c>
      <c r="D51" s="70">
        <v>10</v>
      </c>
      <c r="E51" s="70" t="s">
        <v>156</v>
      </c>
      <c r="F51" s="70" t="s">
        <v>21</v>
      </c>
      <c r="G51" s="70" t="s">
        <v>148</v>
      </c>
      <c r="H51" s="70" t="s">
        <v>156</v>
      </c>
    </row>
    <row r="52" spans="1:8" s="70" customFormat="1" x14ac:dyDescent="0.25">
      <c r="A52" s="70" t="s">
        <v>138</v>
      </c>
      <c r="B52" s="70" t="s">
        <v>139</v>
      </c>
      <c r="C52" s="70" t="s">
        <v>146</v>
      </c>
      <c r="D52" s="70">
        <v>11</v>
      </c>
      <c r="E52" s="70" t="s">
        <v>157</v>
      </c>
      <c r="F52" s="70" t="s">
        <v>21</v>
      </c>
      <c r="G52" s="70" t="s">
        <v>148</v>
      </c>
      <c r="H52" s="70" t="s">
        <v>157</v>
      </c>
    </row>
    <row r="53" spans="1:8" x14ac:dyDescent="0.25">
      <c r="A53" s="70" t="s">
        <v>158</v>
      </c>
      <c r="B53" s="70" t="s">
        <v>159</v>
      </c>
      <c r="C53" s="70" t="s">
        <v>160</v>
      </c>
      <c r="D53" s="70">
        <v>1</v>
      </c>
      <c r="E53" s="70" t="s">
        <v>161</v>
      </c>
      <c r="F53" s="70" t="s">
        <v>16</v>
      </c>
      <c r="G53" s="70" t="s">
        <v>162</v>
      </c>
      <c r="H53" s="70" t="s">
        <v>163</v>
      </c>
    </row>
    <row r="54" spans="1:8" x14ac:dyDescent="0.25">
      <c r="A54" s="70" t="s">
        <v>158</v>
      </c>
      <c r="B54" s="70" t="s">
        <v>159</v>
      </c>
      <c r="C54" s="70" t="s">
        <v>19</v>
      </c>
      <c r="D54" s="70">
        <v>2</v>
      </c>
      <c r="E54" s="70" t="s">
        <v>164</v>
      </c>
      <c r="F54" s="70" t="s">
        <v>21</v>
      </c>
      <c r="G54" s="70" t="s">
        <v>165</v>
      </c>
      <c r="H54" s="70" t="s">
        <v>166</v>
      </c>
    </row>
    <row r="55" spans="1:8" x14ac:dyDescent="0.25">
      <c r="A55" t="s">
        <v>467</v>
      </c>
      <c r="B55" s="70" t="s">
        <v>436</v>
      </c>
      <c r="C55" s="70" t="s">
        <v>438</v>
      </c>
      <c r="D55" s="70">
        <v>1</v>
      </c>
      <c r="E55" s="70" t="s">
        <v>10</v>
      </c>
      <c r="F55" s="70" t="s">
        <v>470</v>
      </c>
      <c r="G55" s="70" t="s">
        <v>439</v>
      </c>
      <c r="H55" s="70" t="s">
        <v>446</v>
      </c>
    </row>
    <row r="56" spans="1:8" x14ac:dyDescent="0.25">
      <c r="A56" t="s">
        <v>467</v>
      </c>
      <c r="B56" s="70" t="s">
        <v>436</v>
      </c>
      <c r="C56" s="70" t="s">
        <v>462</v>
      </c>
      <c r="D56" t="s">
        <v>31</v>
      </c>
      <c r="E56" s="70" t="s">
        <v>15</v>
      </c>
      <c r="F56" s="70" t="s">
        <v>16</v>
      </c>
      <c r="G56" s="70" t="s">
        <v>440</v>
      </c>
      <c r="H56" s="70" t="s">
        <v>447</v>
      </c>
    </row>
    <row r="57" spans="1:8" x14ac:dyDescent="0.25">
      <c r="A57" t="s">
        <v>467</v>
      </c>
      <c r="B57" s="70" t="s">
        <v>436</v>
      </c>
      <c r="C57" s="70" t="s">
        <v>463</v>
      </c>
      <c r="D57" t="s">
        <v>36</v>
      </c>
      <c r="E57" s="70" t="s">
        <v>15</v>
      </c>
      <c r="F57" s="70" t="s">
        <v>471</v>
      </c>
      <c r="G57" s="70" t="s">
        <v>441</v>
      </c>
      <c r="H57" s="70" t="s">
        <v>448</v>
      </c>
    </row>
    <row r="58" spans="1:8" x14ac:dyDescent="0.25">
      <c r="A58" t="s">
        <v>467</v>
      </c>
      <c r="B58" s="70" t="s">
        <v>436</v>
      </c>
      <c r="C58" s="70" t="s">
        <v>464</v>
      </c>
      <c r="D58">
        <v>3</v>
      </c>
      <c r="E58" s="70" t="s">
        <v>443</v>
      </c>
      <c r="F58" s="70" t="s">
        <v>444</v>
      </c>
      <c r="G58" s="70" t="s">
        <v>442</v>
      </c>
      <c r="H58" s="70" t="s">
        <v>445</v>
      </c>
    </row>
    <row r="59" spans="1:8" x14ac:dyDescent="0.25">
      <c r="A59" t="s">
        <v>467</v>
      </c>
      <c r="B59" s="70" t="s">
        <v>436</v>
      </c>
      <c r="C59" s="70" t="s">
        <v>438</v>
      </c>
      <c r="D59">
        <v>4</v>
      </c>
      <c r="E59" s="70" t="s">
        <v>20</v>
      </c>
      <c r="F59" s="70" t="s">
        <v>21</v>
      </c>
      <c r="G59" s="70" t="s">
        <v>456</v>
      </c>
      <c r="H59" s="70" t="s">
        <v>23</v>
      </c>
    </row>
    <row r="60" spans="1:8" x14ac:dyDescent="0.25">
      <c r="A60" t="s">
        <v>468</v>
      </c>
      <c r="B60" s="70" t="s">
        <v>460</v>
      </c>
      <c r="C60" s="70" t="s">
        <v>465</v>
      </c>
      <c r="D60">
        <v>1</v>
      </c>
      <c r="E60" s="70" t="s">
        <v>454</v>
      </c>
      <c r="F60" s="70" t="s">
        <v>453</v>
      </c>
      <c r="G60" s="70" t="s">
        <v>449</v>
      </c>
      <c r="H60" s="70" t="s">
        <v>451</v>
      </c>
    </row>
    <row r="61" spans="1:8" x14ac:dyDescent="0.25">
      <c r="A61" t="s">
        <v>469</v>
      </c>
      <c r="B61" s="70" t="s">
        <v>461</v>
      </c>
      <c r="C61" s="70" t="s">
        <v>466</v>
      </c>
      <c r="D61">
        <v>1</v>
      </c>
      <c r="E61" s="70" t="s">
        <v>455</v>
      </c>
      <c r="F61" s="70" t="s">
        <v>453</v>
      </c>
      <c r="G61" s="70" t="s">
        <v>450</v>
      </c>
      <c r="H61" s="70" t="s">
        <v>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4"/>
  <sheetViews>
    <sheetView workbookViewId="0">
      <selection activeCell="E8" sqref="E8"/>
    </sheetView>
  </sheetViews>
  <sheetFormatPr defaultRowHeight="12.75" x14ac:dyDescent="0.25"/>
  <cols>
    <col min="1" max="1" width="11.375" style="103" customWidth="1"/>
    <col min="2" max="2" width="15.125" style="103" customWidth="1"/>
    <col min="3" max="3" width="9" style="103" customWidth="1"/>
    <col min="4" max="4" width="10.75" style="103" customWidth="1"/>
    <col min="5" max="5" width="11.25" style="103" customWidth="1"/>
    <col min="6" max="6" width="13.125" style="103" customWidth="1"/>
    <col min="7" max="7" width="17.25" style="103" customWidth="1"/>
    <col min="8" max="9" width="9" style="103" customWidth="1"/>
    <col min="10" max="10" width="18.25" style="103" customWidth="1"/>
    <col min="11" max="11" width="17.75" style="103" customWidth="1"/>
    <col min="12" max="12" width="9" style="103" customWidth="1"/>
    <col min="13" max="16384" width="9" style="103"/>
  </cols>
  <sheetData>
    <row r="1" spans="1:11" s="104" customFormat="1" x14ac:dyDescent="0.25">
      <c r="A1" s="104" t="s">
        <v>399</v>
      </c>
      <c r="B1" s="104" t="s">
        <v>400</v>
      </c>
      <c r="C1" s="104" t="s">
        <v>401</v>
      </c>
      <c r="D1" s="104" t="s">
        <v>402</v>
      </c>
      <c r="E1" s="104" t="s">
        <v>403</v>
      </c>
      <c r="F1" s="104" t="s">
        <v>404</v>
      </c>
      <c r="G1" s="104" t="s">
        <v>405</v>
      </c>
      <c r="H1" s="104" t="s">
        <v>406</v>
      </c>
      <c r="I1" s="104" t="s">
        <v>407</v>
      </c>
      <c r="J1" s="104" t="s">
        <v>408</v>
      </c>
      <c r="K1" s="104" t="s">
        <v>409</v>
      </c>
    </row>
    <row r="2" spans="1:11" ht="32.25" customHeight="1" x14ac:dyDescent="0.25">
      <c r="A2" s="103" t="s">
        <v>24</v>
      </c>
      <c r="B2" s="103" t="s">
        <v>25</v>
      </c>
      <c r="C2" s="103" t="s">
        <v>410</v>
      </c>
      <c r="D2" s="103" t="s">
        <v>411</v>
      </c>
      <c r="E2" s="103" t="s">
        <v>412</v>
      </c>
    </row>
    <row r="3" spans="1:11" ht="32.25" customHeight="1" x14ac:dyDescent="0.25">
      <c r="A3" s="103" t="s">
        <v>7</v>
      </c>
      <c r="B3" s="103" t="s">
        <v>8</v>
      </c>
      <c r="C3" s="103" t="s">
        <v>413</v>
      </c>
      <c r="D3" s="103" t="s">
        <v>411</v>
      </c>
      <c r="E3" s="103" t="s">
        <v>414</v>
      </c>
    </row>
    <row r="4" spans="1:11" ht="32.25" customHeight="1" x14ac:dyDescent="0.25">
      <c r="A4" s="103" t="s">
        <v>73</v>
      </c>
      <c r="B4" s="103" t="s">
        <v>74</v>
      </c>
      <c r="C4" s="103" t="s">
        <v>413</v>
      </c>
      <c r="D4" s="103" t="s">
        <v>415</v>
      </c>
      <c r="E4" s="103" t="s">
        <v>416</v>
      </c>
      <c r="F4" s="103" t="s">
        <v>7</v>
      </c>
    </row>
    <row r="5" spans="1:11" ht="32.25" customHeight="1" x14ac:dyDescent="0.25">
      <c r="A5" s="103" t="s">
        <v>95</v>
      </c>
      <c r="B5" s="103" t="s">
        <v>96</v>
      </c>
      <c r="C5" s="103" t="s">
        <v>413</v>
      </c>
      <c r="D5" s="103" t="s">
        <v>415</v>
      </c>
      <c r="E5" s="103" t="s">
        <v>416</v>
      </c>
      <c r="F5" s="103" t="s">
        <v>417</v>
      </c>
    </row>
    <row r="6" spans="1:11" ht="32.25" customHeight="1" x14ac:dyDescent="0.25">
      <c r="A6" s="103" t="s">
        <v>124</v>
      </c>
      <c r="B6" s="103" t="s">
        <v>418</v>
      </c>
      <c r="C6" s="103" t="s">
        <v>413</v>
      </c>
      <c r="D6" s="103" t="s">
        <v>415</v>
      </c>
      <c r="E6" s="103" t="s">
        <v>416</v>
      </c>
      <c r="F6" s="103" t="s">
        <v>419</v>
      </c>
    </row>
    <row r="7" spans="1:11" ht="32.25" customHeight="1" x14ac:dyDescent="0.25">
      <c r="A7" s="103" t="s">
        <v>138</v>
      </c>
      <c r="B7" s="103" t="s">
        <v>139</v>
      </c>
      <c r="C7" s="103" t="s">
        <v>413</v>
      </c>
      <c r="D7" s="103" t="s">
        <v>415</v>
      </c>
      <c r="E7" s="103" t="s">
        <v>412</v>
      </c>
    </row>
    <row r="8" spans="1:11" ht="32.25" customHeight="1" x14ac:dyDescent="0.25">
      <c r="A8" s="103" t="s">
        <v>158</v>
      </c>
      <c r="B8" s="103" t="s">
        <v>159</v>
      </c>
      <c r="C8" s="103" t="s">
        <v>413</v>
      </c>
      <c r="D8" s="103" t="s">
        <v>411</v>
      </c>
      <c r="E8" s="103" t="s">
        <v>420</v>
      </c>
      <c r="F8" s="103" t="s">
        <v>421</v>
      </c>
    </row>
    <row r="9" spans="1:11" ht="32.25" customHeight="1" x14ac:dyDescent="0.25">
      <c r="A9" s="103" t="s">
        <v>422</v>
      </c>
      <c r="B9" s="103" t="s">
        <v>423</v>
      </c>
      <c r="C9" s="103" t="s">
        <v>410</v>
      </c>
      <c r="D9" s="103" t="s">
        <v>411</v>
      </c>
      <c r="E9" s="103" t="s">
        <v>414</v>
      </c>
      <c r="G9" s="103" t="s">
        <v>24</v>
      </c>
    </row>
    <row r="10" spans="1:11" ht="32.25" customHeight="1" x14ac:dyDescent="0.25">
      <c r="A10" s="103" t="s">
        <v>424</v>
      </c>
      <c r="B10" s="103" t="s">
        <v>425</v>
      </c>
      <c r="C10" s="103" t="s">
        <v>413</v>
      </c>
      <c r="D10" s="103" t="s">
        <v>415</v>
      </c>
      <c r="E10" s="103" t="s">
        <v>414</v>
      </c>
      <c r="G10" s="103" t="s">
        <v>426</v>
      </c>
    </row>
    <row r="11" spans="1:11" ht="32.25" customHeight="1" x14ac:dyDescent="0.25">
      <c r="A11" s="103" t="s">
        <v>427</v>
      </c>
      <c r="B11" s="103" t="s">
        <v>428</v>
      </c>
      <c r="C11" s="103" t="s">
        <v>413</v>
      </c>
      <c r="D11" s="103" t="s">
        <v>415</v>
      </c>
      <c r="E11" s="103" t="s">
        <v>414</v>
      </c>
      <c r="G11" s="103" t="s">
        <v>429</v>
      </c>
    </row>
    <row r="12" spans="1:11" ht="32.25" customHeight="1" x14ac:dyDescent="0.25">
      <c r="A12" s="103" t="s">
        <v>430</v>
      </c>
      <c r="B12" s="103" t="s">
        <v>431</v>
      </c>
      <c r="C12" s="103" t="s">
        <v>413</v>
      </c>
      <c r="D12" s="103" t="s">
        <v>415</v>
      </c>
      <c r="E12" s="103" t="s">
        <v>414</v>
      </c>
      <c r="G12" s="103" t="s">
        <v>432</v>
      </c>
    </row>
    <row r="13" spans="1:11" ht="32.25" customHeight="1" x14ac:dyDescent="0.25">
      <c r="A13" s="103" t="s">
        <v>433</v>
      </c>
      <c r="B13" s="103" t="s">
        <v>434</v>
      </c>
      <c r="C13" s="103" t="s">
        <v>413</v>
      </c>
      <c r="D13" s="103" t="s">
        <v>415</v>
      </c>
      <c r="E13" s="103" t="s">
        <v>414</v>
      </c>
      <c r="G13" s="103" t="s">
        <v>435</v>
      </c>
    </row>
    <row r="14" spans="1:11" ht="32.25" customHeigh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Custos gerais</vt:lpstr>
      <vt:lpstr>BPlen HUB Custos</vt:lpstr>
      <vt:lpstr>MentoCoach Custos</vt:lpstr>
      <vt:lpstr>Referencias de Custos</vt:lpstr>
      <vt:lpstr>Custo de Serviços</vt:lpstr>
      <vt:lpstr>Pacotes de Serviço</vt:lpstr>
      <vt:lpstr>Metas</vt:lpstr>
      <vt:lpstr>Jornada</vt:lpstr>
      <vt:lpstr>Checkpoints</vt:lpstr>
      <vt:lpstr>Atributos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Lisandra Lencinna</dc:creator>
  <cp:lastModifiedBy>Lisandra Lencinna</cp:lastModifiedBy>
  <dcterms:created xsi:type="dcterms:W3CDTF">2026-06-18T16:01:41Z</dcterms:created>
  <dcterms:modified xsi:type="dcterms:W3CDTF">2026-08-05T20:50:34Z</dcterms:modified>
</cp:coreProperties>
</file>