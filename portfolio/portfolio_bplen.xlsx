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990" tabRatio="600" firstSheet="0" activeTab="6" autoFilterDateGrouping="1"/>
  </bookViews>
  <sheets>
    <sheet xmlns:r="http://schemas.openxmlformats.org/officeDocument/2006/relationships" name="Custos gerais" sheetId="1" state="visible" r:id="rId1"/>
    <sheet xmlns:r="http://schemas.openxmlformats.org/officeDocument/2006/relationships" name="BPlen HUB Custos" sheetId="2" state="visible" r:id="rId2"/>
    <sheet xmlns:r="http://schemas.openxmlformats.org/officeDocument/2006/relationships" name="MentoCoach Custos" sheetId="3" state="visible" r:id="rId3"/>
    <sheet xmlns:r="http://schemas.openxmlformats.org/officeDocument/2006/relationships" name="Referencias de Custos" sheetId="4" state="visible" r:id="rId4"/>
    <sheet xmlns:r="http://schemas.openxmlformats.org/officeDocument/2006/relationships" name="Custo de Serviços" sheetId="5" state="visible" r:id="rId5"/>
    <sheet xmlns:r="http://schemas.openxmlformats.org/officeDocument/2006/relationships" name="Pacotes de Serviço" sheetId="6" state="visible" r:id="rId6"/>
    <sheet xmlns:r="http://schemas.openxmlformats.org/officeDocument/2006/relationships" name="Metas" sheetId="7" state="visible" r:id="rId7"/>
    <sheet xmlns:r="http://schemas.openxmlformats.org/officeDocument/2006/relationships" name="Jornada" sheetId="8" state="visible" r:id="rId8"/>
    <sheet xmlns:r="http://schemas.openxmlformats.org/officeDocument/2006/relationships" name="Checkpoints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&quot;R$&quot;\ #,##0.00"/>
    <numFmt numFmtId="165" formatCode="&quot;R$ &quot;\ #,##0.00"/>
    <numFmt numFmtId="166" formatCode="0.0"/>
    <numFmt numFmtId="167" formatCode="0.0%"/>
  </numFmts>
  <fonts count="16">
    <font>
      <name val="Calibri"/>
      <family val="2"/>
      <color theme="1"/>
      <sz val="12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Segoe UI"/>
      <family val="2"/>
      <b val="1"/>
      <color rgb="FFFFFFFF"/>
      <sz val="11"/>
    </font>
    <font>
      <name val="Segoe UI"/>
      <family val="2"/>
      <color rgb="FF000000"/>
      <sz val="11"/>
    </font>
    <font>
      <name val="Segoe UI"/>
      <family val="2"/>
      <b val="1"/>
      <color rgb="FF1B365D"/>
      <sz val="12"/>
    </font>
    <font>
      <name val="Segoe UI"/>
      <family val="2"/>
      <b val="1"/>
      <color rgb="FF1B365D"/>
      <sz val="11"/>
    </font>
    <font>
      <name val="Segoe UI"/>
      <family val="2"/>
      <b val="1"/>
      <color rgb="FF000000"/>
      <sz val="11"/>
    </font>
    <font>
      <name val="Segoe UI"/>
      <family val="2"/>
      <b val="1"/>
      <color rgb="FF1B365D"/>
      <sz val="18"/>
    </font>
    <font>
      <name val="Segoe UI"/>
      <family val="2"/>
      <i val="1"/>
      <color rgb="FF4A5568"/>
      <sz val="11"/>
    </font>
    <font>
      <name val="Segoe UI"/>
      <family val="2"/>
      <b val="1"/>
      <color rgb="FFFFFFFF"/>
      <sz val="10"/>
    </font>
    <font>
      <name val="Calibri"/>
      <family val="2"/>
      <color theme="1"/>
      <sz val="10"/>
      <scheme val="minor"/>
    </font>
    <font>
      <name val="Segoe UI"/>
      <family val="2"/>
      <b val="1"/>
      <color rgb="FF1B365D"/>
      <sz val="10"/>
    </font>
    <font>
      <name val="Segoe UI"/>
      <family val="2"/>
      <i val="1"/>
      <color rgb="FF4A5568"/>
      <sz val="10"/>
    </font>
    <font>
      <name val="Segoe UI"/>
      <family val="2"/>
      <b val="1"/>
      <color rgb="FF000000"/>
      <sz val="10"/>
    </font>
    <font>
      <name val="Segoe UI"/>
      <family val="2"/>
      <color rgb="FF000000"/>
      <sz val="10"/>
    </font>
  </fonts>
  <fills count="7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F8FAFC"/>
        <bgColor rgb="FFF8FAFC"/>
      </patternFill>
    </fill>
    <fill>
      <patternFill patternType="solid">
        <fgColor rgb="FFD0E1FD"/>
        <bgColor rgb="FFD0E1FD"/>
      </patternFill>
    </fill>
    <fill>
      <patternFill patternType="solid">
        <fgColor rgb="FFE6ECF4"/>
        <bgColor rgb="FFE6ECF4"/>
      </patternFill>
    </fill>
  </fills>
  <borders count="7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double">
        <color rgb="FF000000"/>
      </bottom>
      <diagonal/>
    </border>
    <border>
      <left/>
      <right/>
      <top/>
      <bottom style="medium">
        <color rgb="FF1B365D"/>
      </bottom>
      <diagonal/>
    </border>
    <border>
      <left/>
      <right/>
      <top/>
      <bottom/>
      <diagonal/>
    </border>
    <border>
      <left/>
      <right style="thin">
        <color rgb="FFD3D3D3"/>
      </right>
      <top style="thin">
        <color rgb="FFD3D3D3"/>
      </top>
      <bottom style="thin">
        <color rgb="FFD3D3D3"/>
      </bottom>
      <diagonal/>
    </border>
    <border>
      <left/>
      <right style="thin">
        <color rgb="FFD3D3D3"/>
      </right>
      <top style="thin">
        <color rgb="FFD3D3D3"/>
      </top>
      <bottom style="double">
        <color rgb="FF000000"/>
      </bottom>
      <diagonal/>
    </border>
  </borders>
  <cellStyleXfs count="1">
    <xf numFmtId="0" fontId="0" fillId="0" borderId="4"/>
  </cellStyleXfs>
  <cellXfs count="104">
    <xf numFmtId="0" fontId="0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64" fontId="0" fillId="0" borderId="0" pivotButton="0" quotePrefix="0" xfId="0"/>
    <xf numFmtId="164" fontId="2" fillId="0" borderId="0" applyAlignment="1" pivotButton="0" quotePrefix="0" xfId="0">
      <alignment horizontal="center"/>
    </xf>
    <xf numFmtId="164" fontId="2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left"/>
    </xf>
    <xf numFmtId="164" fontId="1" fillId="0" borderId="0" applyAlignment="1" pivotButton="0" quotePrefix="0" xfId="0">
      <alignment horizontal="left"/>
    </xf>
    <xf numFmtId="0" fontId="1" fillId="2" borderId="0" applyAlignment="1" pivotButton="0" quotePrefix="0" xfId="0">
      <alignment horizontal="left"/>
    </xf>
    <xf numFmtId="0" fontId="1" fillId="2" borderId="0" pivotButton="0" quotePrefix="0" xfId="0"/>
    <xf numFmtId="0" fontId="2" fillId="0" borderId="0" applyAlignment="1" pivotButton="0" quotePrefix="0" xfId="0">
      <alignment horizontal="right"/>
    </xf>
    <xf numFmtId="9" fontId="2" fillId="0" borderId="0" applyAlignment="1" pivotButton="0" quotePrefix="0" xfId="0">
      <alignment horizontal="center"/>
    </xf>
    <xf numFmtId="0" fontId="3" fillId="3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wrapText="1"/>
    </xf>
    <xf numFmtId="165" fontId="4" fillId="4" borderId="1" applyAlignment="1" pivotButton="0" quotePrefix="0" xfId="0">
      <alignment horizontal="right" vertical="center"/>
    </xf>
    <xf numFmtId="164" fontId="4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10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5" fillId="2" borderId="0" pivotButton="0" quotePrefix="0" xfId="0"/>
    <xf numFmtId="165" fontId="4" fillId="0" borderId="1" applyAlignment="1" pivotButton="0" quotePrefix="0" xfId="0">
      <alignment horizontal="right" vertical="center"/>
    </xf>
    <xf numFmtId="0" fontId="6" fillId="5" borderId="2" pivotButton="0" quotePrefix="0" xfId="0"/>
    <xf numFmtId="165" fontId="6" fillId="5" borderId="2" applyAlignment="1" pivotButton="0" quotePrefix="0" xfId="0">
      <alignment horizontal="left"/>
    </xf>
    <xf numFmtId="0" fontId="6" fillId="5" borderId="2" applyAlignment="1" pivotButton="0" quotePrefix="0" xfId="0">
      <alignment horizontal="left"/>
    </xf>
    <xf numFmtId="165" fontId="0" fillId="0" borderId="0" pivotButton="0" quotePrefix="0" xfId="0"/>
    <xf numFmtId="165" fontId="1" fillId="2" borderId="0" applyAlignment="1" pivotButton="0" quotePrefix="0" xfId="0">
      <alignment horizontal="left"/>
    </xf>
    <xf numFmtId="165" fontId="3" fillId="3" borderId="0" applyAlignment="1" pivotButton="0" quotePrefix="0" xfId="0">
      <alignment horizontal="center" vertical="center"/>
    </xf>
    <xf numFmtId="165" fontId="6" fillId="5" borderId="2" pivotButton="0" quotePrefix="0" xfId="0"/>
    <xf numFmtId="165" fontId="7" fillId="5" borderId="2" applyAlignment="1" pivotButton="0" quotePrefix="0" xfId="0">
      <alignment horizontal="right" vertical="center"/>
    </xf>
    <xf numFmtId="164" fontId="3" fillId="3" borderId="0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/>
    </xf>
    <xf numFmtId="9" fontId="4" fillId="0" borderId="1" applyAlignment="1" pivotButton="0" quotePrefix="0" xfId="0">
      <alignment horizontal="left"/>
    </xf>
    <xf numFmtId="0" fontId="5" fillId="6" borderId="3" pivotButton="0" quotePrefix="0" xfId="0"/>
    <xf numFmtId="164" fontId="5" fillId="6" borderId="3" pivotButton="0" quotePrefix="0" xfId="0"/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6" fillId="5" borderId="2" applyAlignment="1" pivotButton="0" quotePrefix="0" xfId="0">
      <alignment horizontal="right"/>
    </xf>
    <xf numFmtId="0" fontId="6" fillId="5" borderId="2" applyAlignment="1" pivotButton="0" quotePrefix="0" xfId="0">
      <alignment horizontal="right" vertical="center"/>
    </xf>
    <xf numFmtId="164" fontId="6" fillId="5" borderId="2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/>
    </xf>
    <xf numFmtId="10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4" fontId="4" fillId="0" borderId="1" pivotButton="0" quotePrefix="0" xfId="0"/>
    <xf numFmtId="164" fontId="6" fillId="5" borderId="2" pivotButton="0" quotePrefix="0" xfId="0"/>
    <xf numFmtId="164" fontId="4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165" fontId="4" fillId="0" borderId="1" pivotButton="0" quotePrefix="0" xfId="0"/>
    <xf numFmtId="0" fontId="7" fillId="0" borderId="1" pivotButton="0" quotePrefix="0" xfId="0"/>
    <xf numFmtId="165" fontId="7" fillId="0" borderId="1" pivotButton="0" quotePrefix="0" xfId="0"/>
    <xf numFmtId="0" fontId="10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3" fillId="3" borderId="5" applyAlignment="1" pivotButton="0" quotePrefix="0" xfId="0">
      <alignment horizontal="center" vertical="center"/>
    </xf>
    <xf numFmtId="0" fontId="4" fillId="0" borderId="5" pivotButton="0" quotePrefix="0" xfId="0"/>
    <xf numFmtId="0" fontId="6" fillId="5" borderId="6" applyAlignment="1" pivotButton="0" quotePrefix="0" xfId="0">
      <alignment horizontal="right"/>
    </xf>
    <xf numFmtId="0" fontId="4" fillId="0" borderId="5" applyAlignment="1" pivotButton="0" quotePrefix="0" xfId="0">
      <alignment horizontal="right"/>
    </xf>
    <xf numFmtId="0" fontId="4" fillId="0" borderId="5" applyAlignment="1" pivotButton="0" quotePrefix="0" xfId="0">
      <alignment horizontal="left"/>
    </xf>
    <xf numFmtId="0" fontId="0" fillId="0" borderId="4" pivotButton="0" quotePrefix="0" xfId="0"/>
    <xf numFmtId="0" fontId="2" fillId="0" borderId="4" applyAlignment="1" pivotButton="0" quotePrefix="0" xfId="0">
      <alignment horizontal="right"/>
    </xf>
    <xf numFmtId="0" fontId="5" fillId="6" borderId="4" pivotButton="0" quotePrefix="0" xfId="0"/>
    <xf numFmtId="0" fontId="4" fillId="0" borderId="1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1" pivotButton="0" quotePrefix="0" xfId="0"/>
    <xf numFmtId="0" fontId="15" fillId="0" borderId="1" applyAlignment="1" pivotButton="0" quotePrefix="0" xfId="0">
      <alignment horizontal="left" vertical="center" wrapText="1"/>
    </xf>
    <xf numFmtId="165" fontId="15" fillId="0" borderId="1" pivotButton="0" quotePrefix="0" xfId="0"/>
    <xf numFmtId="3" fontId="15" fillId="0" borderId="1" applyAlignment="1" pivotButton="0" quotePrefix="0" xfId="0">
      <alignment horizontal="center" vertical="center"/>
    </xf>
    <xf numFmtId="0" fontId="14" fillId="4" borderId="1" pivotButton="0" quotePrefix="0" xfId="0"/>
    <xf numFmtId="0" fontId="15" fillId="4" borderId="1" applyAlignment="1" pivotButton="0" quotePrefix="0" xfId="0">
      <alignment horizontal="left" vertical="center" wrapText="1"/>
    </xf>
    <xf numFmtId="165" fontId="15" fillId="4" borderId="1" pivotButton="0" quotePrefix="0" xfId="0"/>
    <xf numFmtId="3" fontId="15" fillId="4" borderId="1" applyAlignment="1" pivotButton="0" quotePrefix="0" xfId="0">
      <alignment horizontal="center" vertical="center"/>
    </xf>
    <xf numFmtId="0" fontId="12" fillId="5" borderId="2" pivotButton="0" quotePrefix="0" xfId="0"/>
    <xf numFmtId="0" fontId="11" fillId="5" borderId="2" pivotButton="0" quotePrefix="0" xfId="0"/>
    <xf numFmtId="165" fontId="12" fillId="5" borderId="2" pivotButton="0" quotePrefix="0" xfId="0"/>
    <xf numFmtId="0" fontId="15" fillId="0" borderId="1" applyAlignment="1" pivotButton="0" quotePrefix="0" xfId="0">
      <alignment horizontal="center" vertical="center"/>
    </xf>
    <xf numFmtId="166" fontId="15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6" fontId="15" fillId="4" borderId="1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3" fontId="12" fillId="5" borderId="2" applyAlignment="1" pivotButton="0" quotePrefix="0" xfId="0">
      <alignment horizontal="center" vertical="center"/>
    </xf>
    <xf numFmtId="166" fontId="12" fillId="5" borderId="2" applyAlignment="1" pivotButton="0" quotePrefix="0" xfId="0">
      <alignment horizontal="center" vertical="center"/>
    </xf>
    <xf numFmtId="165" fontId="15" fillId="0" borderId="1" applyAlignment="1" pivotButton="0" quotePrefix="0" xfId="0">
      <alignment horizontal="right" vertical="center"/>
    </xf>
    <xf numFmtId="167" fontId="15" fillId="0" borderId="1" applyAlignment="1" pivotButton="0" quotePrefix="0" xfId="0">
      <alignment horizontal="center" vertical="center"/>
    </xf>
    <xf numFmtId="165" fontId="15" fillId="4" borderId="1" applyAlignment="1" pivotButton="0" quotePrefix="0" xfId="0">
      <alignment horizontal="right" vertical="center"/>
    </xf>
    <xf numFmtId="167" fontId="15" fillId="4" borderId="1" applyAlignment="1" pivotButton="0" quotePrefix="0" xfId="0">
      <alignment horizontal="center" vertical="center"/>
    </xf>
    <xf numFmtId="167" fontId="12" fillId="5" borderId="2" applyAlignment="1" pivotButton="0" quotePrefix="0" xfId="0">
      <alignment horizontal="center" vertical="center"/>
    </xf>
    <xf numFmtId="165" fontId="12" fillId="5" borderId="2" applyAlignment="1" pivotButton="0" quotePrefix="0" xfId="0">
      <alignment horizontal="right" vertical="center"/>
    </xf>
    <xf numFmtId="0" fontId="6" fillId="6" borderId="0" pivotButton="0" quotePrefix="0" xfId="0"/>
    <xf numFmtId="0" fontId="0" fillId="0" borderId="0" pivotButton="0" quotePrefix="0" xfId="0"/>
    <xf numFmtId="0" fontId="6" fillId="6" borderId="4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47750" cy="5238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</row>
      <rowOff>0</rowOff>
    </from>
    <ext cx="1047750" cy="52387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E7"/>
  <sheetViews>
    <sheetView workbookViewId="0">
      <selection activeCell="C14" sqref="C14"/>
    </sheetView>
  </sheetViews>
  <sheetFormatPr baseColWidth="8" defaultRowHeight="15.75"/>
  <cols>
    <col width="12" customWidth="1" style="102" min="1" max="1"/>
    <col width="78" bestFit="1" customWidth="1" style="102" min="2" max="2"/>
    <col width="15" customWidth="1" style="2" min="3" max="3"/>
    <col width="32" customWidth="1" style="102" min="4" max="4"/>
    <col width="12" customWidth="1" style="102" min="5" max="5"/>
  </cols>
  <sheetData>
    <row r="1" ht="20.1" customHeight="1" s="102"/>
    <row r="2" ht="20.1" customHeight="1" s="102"/>
    <row r="3" ht="27.95" customHeight="1" s="102">
      <c r="B3" s="14" t="inlineStr">
        <is>
          <t>Item</t>
        </is>
      </c>
      <c r="C3" s="14" t="inlineStr">
        <is>
          <t>Custo Total</t>
        </is>
      </c>
      <c r="D3" s="14" t="inlineStr">
        <is>
          <t>Custo Franquia (Por cliente)</t>
        </is>
      </c>
      <c r="E3" s="14" t="inlineStr">
        <is>
          <t>Franquia</t>
        </is>
      </c>
    </row>
    <row r="4" ht="20.1" customHeight="1" s="102">
      <c r="B4" s="15" t="inlineStr">
        <is>
          <t>Custos médios administrativos da empresa (Anual)</t>
        </is>
      </c>
      <c r="C4" s="16" t="n">
        <v>24000</v>
      </c>
      <c r="D4" s="17">
        <f>C4/E4</f>
        <v/>
      </c>
      <c r="E4" s="15" t="n">
        <v>300</v>
      </c>
    </row>
    <row r="5" ht="20.1" customHeight="1" s="102">
      <c r="B5" s="18" t="inlineStr">
        <is>
          <t>Taxa média de checkout Cartão (Crédito e Débito) - sob valor do serviço</t>
        </is>
      </c>
      <c r="C5" s="19" t="n">
        <v>0.05</v>
      </c>
      <c r="D5" s="20" t="inlineStr">
        <is>
          <t>não se aplica</t>
        </is>
      </c>
      <c r="E5" s="18" t="n"/>
    </row>
    <row r="6" ht="20.1" customHeight="1" s="102">
      <c r="B6" s="15" t="inlineStr">
        <is>
          <t>Taxa média de checkout Pix - sob valor do serviço</t>
        </is>
      </c>
      <c r="C6" s="21" t="n">
        <v>0.009900000000000001</v>
      </c>
      <c r="D6" s="22" t="inlineStr">
        <is>
          <t>não se aplica</t>
        </is>
      </c>
      <c r="E6" s="15" t="n"/>
    </row>
    <row r="7" ht="20.1" customHeight="1" s="102">
      <c r="B7" s="18" t="inlineStr">
        <is>
          <t>Impostos sobre valor total de serviço - após inclusão de taxas de checkout</t>
        </is>
      </c>
      <c r="C7" s="19" t="n">
        <v>0.08</v>
      </c>
      <c r="D7" s="20" t="inlineStr">
        <is>
          <t>não se aplica</t>
        </is>
      </c>
      <c r="E7" s="18" t="n"/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27"/>
  <sheetViews>
    <sheetView workbookViewId="0">
      <selection activeCell="E19" sqref="E19"/>
    </sheetView>
  </sheetViews>
  <sheetFormatPr baseColWidth="8" defaultRowHeight="15"/>
  <cols>
    <col width="12" customWidth="1" style="7" min="1" max="1"/>
    <col width="31" bestFit="1" customWidth="1" style="7" min="2" max="2"/>
    <col width="24" bestFit="1" customWidth="1" style="8" min="3" max="3"/>
    <col width="61" customWidth="1" style="8" min="4" max="4"/>
    <col width="44" bestFit="1" customWidth="1" style="7" min="5" max="5"/>
    <col width="9" customWidth="1" style="7" min="6" max="6"/>
    <col width="9" customWidth="1" style="7" min="7" max="16384"/>
  </cols>
  <sheetData>
    <row r="1" ht="20.1" customHeight="1" s="102"/>
    <row r="2" ht="20.1" customHeight="1" s="102">
      <c r="B2" s="23" t="inlineStr">
        <is>
          <t>Histórico: Mar26 a Jun26</t>
        </is>
      </c>
      <c r="C2" s="10" t="n"/>
      <c r="D2" s="10" t="n"/>
      <c r="E2" s="11" t="n"/>
    </row>
    <row r="3" ht="27.95" customHeight="1" s="102">
      <c r="B3" s="14" t="inlineStr">
        <is>
          <t>Item / Serviço</t>
        </is>
      </c>
      <c r="C3" s="14" t="inlineStr">
        <is>
          <t>Custo Total Período</t>
        </is>
      </c>
      <c r="D3" s="14" t="inlineStr">
        <is>
          <t>Base de Cálculo / Detalhamento</t>
        </is>
      </c>
      <c r="E3" s="14" t="n"/>
    </row>
    <row r="4" ht="20.1" customHeight="1" s="102">
      <c r="B4" s="18" t="inlineStr">
        <is>
          <t>Honorário Dev (Histórico)</t>
        </is>
      </c>
      <c r="C4" s="24" t="n">
        <v>184800</v>
      </c>
      <c r="D4" s="24" t="inlineStr">
        <is>
          <t>R$ Hora: 350,00 | Horas dedicadas (Mar-26 a Jun-26): 528h</t>
        </is>
      </c>
      <c r="E4" s="18" t="n"/>
    </row>
    <row r="5" ht="20.1" customHeight="1" s="102">
      <c r="B5" s="15" t="inlineStr">
        <is>
          <t>Google Workspace (Setup)</t>
        </is>
      </c>
      <c r="C5" s="16" t="n">
        <v>567.2</v>
      </c>
      <c r="D5" s="16" t="inlineStr">
        <is>
          <t>Proporcional a 4 meses de uso de homologação</t>
        </is>
      </c>
      <c r="E5" s="15" t="n"/>
    </row>
    <row r="6" ht="20.1" customHeight="1" s="102">
      <c r="B6" s="18" t="inlineStr">
        <is>
          <t>Google Cloud (Setup/Testes)</t>
        </is>
      </c>
      <c r="C6" s="24" t="n">
        <v>0</v>
      </c>
      <c r="D6" s="24" t="inlineStr">
        <is>
          <t>Consumido 100% dentro do bônus promocional de R$ 1.700,00</t>
        </is>
      </c>
      <c r="E6" s="18" t="n"/>
    </row>
    <row r="7" ht="20.1" customHeight="1" s="102">
      <c r="B7" s="25" t="inlineStr">
        <is>
          <t>TOTAL INVESTIDO</t>
        </is>
      </c>
      <c r="C7" s="26" t="n">
        <v>21567.2</v>
      </c>
      <c r="D7" s="26" t="inlineStr">
        <is>
          <t>Investimento total para colocar a plataforma em produção</t>
        </is>
      </c>
      <c r="E7" s="27" t="n"/>
    </row>
    <row r="8" ht="20.1" customHeight="1" s="102">
      <c r="C8" s="28" t="n"/>
      <c r="D8" s="28" t="n"/>
    </row>
    <row r="9" ht="20.1" customHeight="1" s="102">
      <c r="C9" s="28" t="n"/>
      <c r="D9" s="28" t="n"/>
    </row>
    <row r="10" ht="20.1" customHeight="1" s="102">
      <c r="B10" s="23" t="inlineStr">
        <is>
          <t>Projeção: Próx 12 meses</t>
        </is>
      </c>
      <c r="C10" s="29" t="n"/>
      <c r="D10" s="29" t="n"/>
      <c r="E10" s="11" t="n"/>
    </row>
    <row r="11" ht="27.95" customHeight="1" s="102">
      <c r="B11" s="14" t="inlineStr">
        <is>
          <t>Item / Serviço</t>
        </is>
      </c>
      <c r="C11" s="30" t="inlineStr">
        <is>
          <t>Custo Mensal (Proj.)</t>
        </is>
      </c>
      <c r="D11" s="30" t="inlineStr">
        <is>
          <t>Custo Anual (Proj.)</t>
        </is>
      </c>
      <c r="E11" s="14" t="inlineStr">
        <is>
          <t>Detalhamento / Objetivo</t>
        </is>
      </c>
    </row>
    <row r="12" ht="20.1" customHeight="1" s="102">
      <c r="B12" s="15" t="inlineStr">
        <is>
          <t>Google Workspace</t>
        </is>
      </c>
      <c r="C12" s="16" t="n">
        <v>141.8</v>
      </c>
      <c r="D12" s="16" t="n">
        <v>1701.6</v>
      </c>
      <c r="E12" s="15" t="inlineStr">
        <is>
          <t>E-mails, Drive e agenda corporativos</t>
        </is>
      </c>
    </row>
    <row r="13" ht="20.1" customHeight="1" s="102">
      <c r="B13" s="18" t="inlineStr">
        <is>
          <t>Vercel Pro</t>
        </is>
      </c>
      <c r="C13" s="24" t="n">
        <v>90</v>
      </c>
      <c r="D13" s="24" t="n">
        <v>1080</v>
      </c>
      <c r="E13" s="18" t="inlineStr">
        <is>
          <t>Servidor do site com suporte a IA</t>
        </is>
      </c>
    </row>
    <row r="14" ht="20.1" customHeight="1" s="102">
      <c r="B14" s="15" t="inlineStr">
        <is>
          <t>Notion Business</t>
        </is>
      </c>
      <c r="C14" s="16" t="n">
        <v>90</v>
      </c>
      <c r="D14" s="16" t="n">
        <v>1080</v>
      </c>
      <c r="E14" s="15" t="inlineStr">
        <is>
          <t>Banco de dados de tarefas e rotinas</t>
        </is>
      </c>
    </row>
    <row r="15" ht="20.1" customHeight="1" s="102">
      <c r="B15" s="18" t="inlineStr">
        <is>
          <t>Resend Pro (E-mails)</t>
        </is>
      </c>
      <c r="C15" s="24" t="n">
        <v>90</v>
      </c>
      <c r="D15" s="24" t="n">
        <v>1080</v>
      </c>
      <c r="E15" s="18" t="inlineStr">
        <is>
          <t>Disparo de e-mails automáticos (Novo)</t>
        </is>
      </c>
    </row>
    <row r="16" ht="20.1" customHeight="1" s="102">
      <c r="B16" s="15" t="inlineStr">
        <is>
          <t>Google Cloud (GCP/IA)</t>
        </is>
      </c>
      <c r="C16" s="16" t="n">
        <v>100</v>
      </c>
      <c r="D16" s="16" t="n">
        <v>1200</v>
      </c>
      <c r="E16" s="15" t="inlineStr">
        <is>
          <t>Banco Firestore + Tokens de IA (Gemini)</t>
        </is>
      </c>
    </row>
    <row r="17" ht="20.1" customHeight="1" s="102">
      <c r="B17" s="18" t="inlineStr">
        <is>
          <t>Domínio (.com.br)</t>
        </is>
      </c>
      <c r="C17" s="24" t="n">
        <v>3.33</v>
      </c>
      <c r="D17" s="24" t="n">
        <v>40</v>
      </c>
      <c r="E17" s="18" t="inlineStr">
        <is>
          <t>Registro anual no Registro.br (Novo)</t>
        </is>
      </c>
    </row>
    <row r="18" ht="20.1" customHeight="1" s="102">
      <c r="B18" s="15" t="inlineStr">
        <is>
          <t>Cloudflare</t>
        </is>
      </c>
      <c r="C18" s="16" t="n">
        <v>0</v>
      </c>
      <c r="D18" s="16" t="n">
        <v>0</v>
      </c>
      <c r="E18" s="15" t="inlineStr">
        <is>
          <t>Segurança e proteção DDoS (Grátis)</t>
        </is>
      </c>
    </row>
    <row r="19" ht="20.1" customHeight="1" s="102">
      <c r="B19" s="18" t="inlineStr">
        <is>
          <t>Mercado Pago Gateway</t>
        </is>
      </c>
      <c r="C19" s="24" t="n">
        <v>0</v>
      </c>
      <c r="D19" s="24" t="n">
        <v>0</v>
      </c>
      <c r="E19" s="18" t="inlineStr">
        <is>
          <t>Taxa variável de 3.99% a 4.99% por venda</t>
        </is>
      </c>
    </row>
    <row r="20" ht="20.1" customHeight="1" s="102">
      <c r="B20" s="15" t="inlineStr">
        <is>
          <t>Dev On-Demand</t>
        </is>
      </c>
      <c r="C20" s="16" t="n">
        <v>7000</v>
      </c>
      <c r="D20" s="16">
        <f>C20*12</f>
        <v/>
      </c>
      <c r="E20" s="15" t="n"/>
    </row>
    <row r="21" ht="20.1" customHeight="1" s="102">
      <c r="B21" s="25" t="inlineStr">
        <is>
          <t>TOTAL PROJETADO</t>
        </is>
      </c>
      <c r="C21" s="26">
        <f>SUM(C12:C20)</f>
        <v/>
      </c>
      <c r="D21" s="26">
        <f>SUM(D12:D20)</f>
        <v/>
      </c>
      <c r="E21" s="27" t="n"/>
    </row>
    <row r="22" ht="20.1" customHeight="1" s="102">
      <c r="C22" s="28" t="n"/>
      <c r="D22" s="28" t="n"/>
    </row>
    <row r="23" ht="20.1" customHeight="1" s="102">
      <c r="C23" s="28" t="n"/>
      <c r="D23" s="28" t="n"/>
    </row>
    <row r="24" ht="20.1" customHeight="1" s="102">
      <c r="C24" s="28" t="n"/>
      <c r="D24" s="28" t="n"/>
    </row>
    <row r="25" ht="20.1" customHeight="1" s="102">
      <c r="B25" s="25" t="inlineStr">
        <is>
          <t>INVESTIDO + PROJETADO</t>
        </is>
      </c>
      <c r="C25" s="26">
        <f>SUM(C7+C21)</f>
        <v/>
      </c>
      <c r="D25" s="31" t="n"/>
      <c r="E25" s="25" t="n"/>
    </row>
    <row r="26" ht="20.1" customHeight="1" s="102"/>
    <row r="27" ht="20.1" customHeight="1" s="102">
      <c r="D27" s="9" t="n"/>
    </row>
  </sheetData>
  <pageMargins left="0.511811024" right="0.511811024" top="0.787401575" bottom="0.787401575" header="0.31496062" footer="0.31496062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4:B5"/>
  <sheetViews>
    <sheetView workbookViewId="0">
      <selection activeCell="B6" sqref="B6"/>
    </sheetView>
  </sheetViews>
  <sheetFormatPr baseColWidth="8" defaultRowHeight="15.75"/>
  <cols>
    <col width="38" customWidth="1" style="102" min="2" max="2"/>
  </cols>
  <sheetData>
    <row r="4" ht="27.95" customHeight="1" s="102">
      <c r="B4" s="14" t="inlineStr">
        <is>
          <t>Metodologia Coach IBC (Investimento)</t>
        </is>
      </c>
    </row>
    <row r="5" ht="24" customHeight="1" s="102">
      <c r="B5" s="32" t="n">
        <v>6000</v>
      </c>
    </row>
  </sheetData>
  <pageMargins left="0.511811024" right="0.511811024" top="0.787401575" bottom="0.787401575" header="0.31496062" footer="0.31496062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E26" sqref="E26"/>
    </sheetView>
  </sheetViews>
  <sheetFormatPr baseColWidth="8" defaultRowHeight="15.75"/>
  <cols>
    <col width="49" customWidth="1" style="102" min="1" max="1"/>
    <col width="21" bestFit="1" customWidth="1" style="102" min="2" max="2"/>
    <col width="19" bestFit="1" customWidth="1" style="102" min="3" max="3"/>
    <col width="23" bestFit="1" customWidth="1" style="102" min="4" max="4"/>
    <col width="187" customWidth="1" style="102" min="5" max="5"/>
  </cols>
  <sheetData>
    <row r="1" ht="20.1" customHeight="1" s="102">
      <c r="A1" s="14" t="inlineStr">
        <is>
          <t>Item</t>
        </is>
      </c>
      <c r="B1" s="14" t="inlineStr">
        <is>
          <t>Minutos Totais</t>
        </is>
      </c>
      <c r="C1" s="14" t="inlineStr">
        <is>
          <t>Custo</t>
        </is>
      </c>
      <c r="D1" s="14" t="inlineStr">
        <is>
          <t>Custo por Minuto</t>
        </is>
      </c>
      <c r="E1" s="14" t="inlineStr">
        <is>
          <t>Descrição</t>
        </is>
      </c>
    </row>
    <row r="2" ht="20.1" customHeight="1" s="102">
      <c r="A2" s="18" t="inlineStr">
        <is>
          <t>Honorário</t>
        </is>
      </c>
      <c r="B2" s="20" t="n">
        <v>60</v>
      </c>
      <c r="C2" s="24" t="n">
        <v>350</v>
      </c>
      <c r="D2" s="24">
        <f>C2/B2</f>
        <v/>
      </c>
      <c r="E2" s="18" t="inlineStr">
        <is>
          <t>Tempo dedicado dos consultores</t>
        </is>
      </c>
    </row>
    <row r="3" ht="20.1" customHeight="1" s="102">
      <c r="A3" s="1" t="n"/>
      <c r="C3" s="28" t="n"/>
      <c r="D3" s="28" t="n"/>
    </row>
    <row r="4" ht="20.1" customHeight="1" s="102">
      <c r="A4" s="14" t="inlineStr">
        <is>
          <t>Item</t>
        </is>
      </c>
      <c r="B4" s="14" t="inlineStr">
        <is>
          <t>Acessos Totais</t>
        </is>
      </c>
      <c r="C4" s="33" t="inlineStr">
        <is>
          <t>Custo</t>
        </is>
      </c>
      <c r="D4" s="33" t="inlineStr">
        <is>
          <t>Custo por Acesso</t>
        </is>
      </c>
      <c r="E4" s="14" t="inlineStr">
        <is>
          <t>Descrição</t>
        </is>
      </c>
    </row>
    <row r="5" ht="20.1" customHeight="1" s="102">
      <c r="A5" s="18" t="inlineStr">
        <is>
          <t>Área Membro</t>
        </is>
      </c>
      <c r="B5" s="20" t="n">
        <v>1</v>
      </c>
      <c r="C5" s="24" t="n">
        <v>15</v>
      </c>
      <c r="D5" s="24">
        <f>C5/B5</f>
        <v/>
      </c>
      <c r="E5" s="18" t="inlineStr">
        <is>
          <t>Acesso ao dashboard de assessments + agenda bplen + acompanhamento de jornada</t>
        </is>
      </c>
    </row>
    <row r="6" ht="20.1" customHeight="1" s="102">
      <c r="A6" s="18" t="inlineStr">
        <is>
          <t>Área Membro | GDC Dashboard</t>
        </is>
      </c>
      <c r="B6" s="20" t="n">
        <v>1</v>
      </c>
      <c r="C6" s="24" t="n">
        <v>15</v>
      </c>
      <c r="D6" s="24">
        <f>C6/B6</f>
        <v/>
      </c>
      <c r="E6" s="18" t="inlineStr">
        <is>
          <t>Acesso ao modulo de gestão e desenvolvimento de carreira com recursos de acompanhamento detalhado de métricas e documentação de progresso + gestão de onbjetivos e metas + backlog list</t>
        </is>
      </c>
    </row>
    <row r="7" ht="20.1" customHeight="1" s="102"/>
    <row r="8" ht="20.1" customHeight="1" s="102">
      <c r="A8" s="14" t="inlineStr">
        <is>
          <t>Item</t>
        </is>
      </c>
      <c r="B8" s="14" t="inlineStr">
        <is>
          <t>Sistema Total</t>
        </is>
      </c>
      <c r="C8" s="33" t="inlineStr">
        <is>
          <t>Custo</t>
        </is>
      </c>
      <c r="D8" s="33" t="inlineStr">
        <is>
          <t>Custo por Sistema</t>
        </is>
      </c>
      <c r="E8" s="14" t="inlineStr">
        <is>
          <t>Descrição</t>
        </is>
      </c>
    </row>
    <row r="9" ht="20.1" customHeight="1" s="102">
      <c r="A9" s="18" t="inlineStr">
        <is>
          <t>BPlen HUB</t>
        </is>
      </c>
      <c r="B9" s="20" t="n">
        <v>1</v>
      </c>
      <c r="C9" s="24" t="n">
        <v>29082.33</v>
      </c>
      <c r="D9" s="24">
        <f>C9/B9</f>
        <v/>
      </c>
      <c r="E9" s="18" t="inlineStr">
        <is>
          <t>Ecossistema BPlen HUB | Area logada que oferece diversos recursos para consumo dos serviços Bplen e tornar a experiencia do cliente mais fluida e confiável aliado a tecnologia.</t>
        </is>
      </c>
    </row>
    <row r="10" ht="20.1" customHeight="1" s="102">
      <c r="A10" s="18" t="inlineStr">
        <is>
          <t>MentoCoach</t>
        </is>
      </c>
      <c r="B10" s="20" t="n">
        <v>1</v>
      </c>
      <c r="C10" s="24" t="n">
        <v>6000</v>
      </c>
      <c r="D10" s="24">
        <f>C10/B10</f>
        <v/>
      </c>
      <c r="E10" s="18" t="inlineStr">
        <is>
          <t>Ferramentas e Métodologia de Coching e Mentoria | Acesso ao modulo de assessments, exercícios e tarefas especificos para coaching e mentoria</t>
        </is>
      </c>
    </row>
    <row r="11" ht="20.1" customHeight="1" s="102"/>
    <row r="12" ht="20.1" customHeight="1" s="102">
      <c r="A12" s="14" t="inlineStr">
        <is>
          <t>Item</t>
        </is>
      </c>
      <c r="B12" s="14" t="inlineStr">
        <is>
          <t>Relatórios Totais</t>
        </is>
      </c>
      <c r="C12" s="33" t="inlineStr">
        <is>
          <t>Custo</t>
        </is>
      </c>
      <c r="D12" s="33" t="inlineStr">
        <is>
          <t>Custo por Relatório</t>
        </is>
      </c>
      <c r="E12" s="14" t="inlineStr">
        <is>
          <t>Descrição</t>
        </is>
      </c>
    </row>
    <row r="13" ht="20.1" customHeight="1" s="102">
      <c r="A13" s="18" t="inlineStr">
        <is>
          <t>Relatório DISC</t>
        </is>
      </c>
      <c r="B13" s="20" t="n">
        <v>1</v>
      </c>
      <c r="C13" s="24" t="n">
        <v>160</v>
      </c>
      <c r="D13" s="24">
        <f>C13/B13</f>
        <v/>
      </c>
      <c r="E13" s="18" t="inlineStr">
        <is>
          <t>Relatório com resultados da avaliação DISC</t>
        </is>
      </c>
    </row>
    <row r="14" ht="20.1" customHeight="1" s="102">
      <c r="A14" s="18" t="inlineStr">
        <is>
          <t>Relatório de Análise Comportamental</t>
        </is>
      </c>
      <c r="B14" s="20" t="n">
        <v>1</v>
      </c>
      <c r="C14" s="24" t="n">
        <v>160</v>
      </c>
      <c r="D14" s="24">
        <f>C14/B14</f>
        <v/>
      </c>
      <c r="E14" s="18" t="inlineStr">
        <is>
          <t>Relatório da análise e insights do analista referente aos assessments comportamentais cruzados com contexto situacionais do cliente.</t>
        </is>
      </c>
    </row>
    <row r="15" ht="20.1" customHeight="1" s="102">
      <c r="A15" s="18" t="inlineStr">
        <is>
          <t>Relatório PDI</t>
        </is>
      </c>
      <c r="B15" s="20" t="n">
        <v>1</v>
      </c>
      <c r="C15" s="24" t="n">
        <v>150</v>
      </c>
      <c r="D15" s="24">
        <f>C15/B15</f>
        <v/>
      </c>
      <c r="E15" s="18" t="inlineStr">
        <is>
          <t>Relatório da análise e insights do analista referente ao plano de carreira cruzado com assessments comportamentais e contexto situacionais do cliente.</t>
        </is>
      </c>
    </row>
    <row r="16" ht="20.1" customHeight="1" s="102"/>
    <row r="17" ht="20.1" customHeight="1" s="102">
      <c r="A17" s="14" t="inlineStr">
        <is>
          <t>Item</t>
        </is>
      </c>
      <c r="B17" s="14" t="inlineStr">
        <is>
          <t>Kits Totais</t>
        </is>
      </c>
      <c r="C17" s="33" t="inlineStr">
        <is>
          <t>Custo</t>
        </is>
      </c>
      <c r="D17" s="33" t="inlineStr">
        <is>
          <t>Custo por Kit</t>
        </is>
      </c>
      <c r="E17" s="14" t="inlineStr">
        <is>
          <t>Descrição</t>
        </is>
      </c>
    </row>
    <row r="18" ht="20.1" customHeight="1" s="102">
      <c r="A18" s="18" t="inlineStr">
        <is>
          <t>KIT BPlen</t>
        </is>
      </c>
      <c r="B18" s="20" t="n">
        <v>1</v>
      </c>
      <c r="C18" s="24" t="n">
        <v>150</v>
      </c>
      <c r="D18" s="24">
        <f>C18/B18</f>
        <v/>
      </c>
      <c r="E18" s="18" t="inlineStr">
        <is>
          <t>Itens personalizados da Bplen (Caderno, Caneta e outros necessários para complemento prático de atividades e tarefas dos clientes)</t>
        </is>
      </c>
    </row>
    <row r="19" ht="20.1" customHeight="1" s="102">
      <c r="A19" s="1" t="n"/>
      <c r="B19" s="2" t="n"/>
      <c r="C19" s="3" t="n"/>
      <c r="D19" s="4" t="n"/>
    </row>
    <row r="20" ht="20.1" customHeight="1" s="102">
      <c r="A20" s="14" t="inlineStr">
        <is>
          <t>Item</t>
        </is>
      </c>
      <c r="B20" s="14" t="inlineStr">
        <is>
          <t>Taxa</t>
        </is>
      </c>
      <c r="C20" s="33" t="inlineStr">
        <is>
          <t>-</t>
        </is>
      </c>
      <c r="D20" s="33" t="inlineStr">
        <is>
          <t>-</t>
        </is>
      </c>
      <c r="E20" s="14" t="inlineStr">
        <is>
          <t>Descrição</t>
        </is>
      </c>
    </row>
    <row r="21" ht="20.1" customHeight="1" s="102">
      <c r="A21" s="18" t="inlineStr">
        <is>
          <t>Taxa Checkout</t>
        </is>
      </c>
      <c r="B21" s="19" t="n">
        <v>0.05</v>
      </c>
      <c r="C21" s="34" t="inlineStr">
        <is>
          <t>não se aplica</t>
        </is>
      </c>
      <c r="D21" s="34" t="inlineStr">
        <is>
          <t>não se aplica</t>
        </is>
      </c>
      <c r="E21" s="18" t="inlineStr">
        <is>
          <t>Taxa de pagamento com cartão de debito ou crédito</t>
        </is>
      </c>
    </row>
    <row r="22" ht="20.1" customHeight="1" s="102">
      <c r="A22" s="18" t="inlineStr">
        <is>
          <t>Taxa Imposto</t>
        </is>
      </c>
      <c r="B22" s="19" t="n">
        <v>0.08</v>
      </c>
      <c r="C22" s="34" t="inlineStr">
        <is>
          <t>não se aplica</t>
        </is>
      </c>
      <c r="D22" s="34" t="inlineStr">
        <is>
          <t>não se aplica</t>
        </is>
      </c>
      <c r="E22" s="18" t="inlineStr">
        <is>
          <t>Taxa de impostos sob custo bruto do serviço</t>
        </is>
      </c>
    </row>
    <row r="23" ht="20.1" customHeight="1" s="102"/>
    <row r="24" ht="20.1" customHeight="1" s="102">
      <c r="A24" s="14" t="inlineStr">
        <is>
          <t>Item</t>
        </is>
      </c>
      <c r="B24" s="14" t="inlineStr">
        <is>
          <t>e-book Totais</t>
        </is>
      </c>
      <c r="C24" s="33" t="inlineStr">
        <is>
          <t>Custo</t>
        </is>
      </c>
      <c r="D24" s="33" t="inlineStr">
        <is>
          <t>Custo por e-book</t>
        </is>
      </c>
      <c r="E24" s="14" t="inlineStr">
        <is>
          <t>Descrição</t>
        </is>
      </c>
    </row>
    <row r="25" ht="20.1" customHeight="1" s="102">
      <c r="A25" s="18" t="inlineStr">
        <is>
          <t>GDC e-book</t>
        </is>
      </c>
      <c r="B25" s="20" t="n">
        <v>1</v>
      </c>
      <c r="C25" s="24" t="n">
        <v>5000</v>
      </c>
      <c r="D25" s="24">
        <f>C25/B25</f>
        <v/>
      </c>
      <c r="E25" s="18" t="inlineStr">
        <is>
          <t>Material pedagógico para condução de orientação educacional sobre Gestão e Desenvolvimento de Carreira.</t>
        </is>
      </c>
    </row>
    <row r="26" ht="20.1" customHeight="1" s="102">
      <c r="A26" s="18" t="inlineStr">
        <is>
          <t>Posicionamento de Carreira e-book</t>
        </is>
      </c>
      <c r="B26" s="20" t="n">
        <v>1</v>
      </c>
      <c r="C26" s="24" t="n">
        <v>5000</v>
      </c>
      <c r="D26" s="24">
        <f>C26/B26</f>
        <v/>
      </c>
      <c r="E26" s="18" t="inlineStr">
        <is>
          <t>Material pedagógico para condução de orientação educacional sobre Posicionamento de Carreira.</t>
        </is>
      </c>
    </row>
    <row r="27" ht="20.1" customHeight="1" s="102"/>
    <row r="28" ht="20.1" customHeight="1" s="102">
      <c r="A28" s="14" t="inlineStr">
        <is>
          <t>Item</t>
        </is>
      </c>
      <c r="B28" s="14" t="inlineStr">
        <is>
          <t>franquia Totais</t>
        </is>
      </c>
      <c r="C28" s="33" t="inlineStr">
        <is>
          <t>Custo</t>
        </is>
      </c>
      <c r="D28" s="33" t="inlineStr">
        <is>
          <t>Custo por e-book</t>
        </is>
      </c>
      <c r="E28" s="14" t="inlineStr">
        <is>
          <t>Descrição</t>
        </is>
      </c>
    </row>
    <row r="29" ht="20.1" customHeight="1" s="102">
      <c r="A29" s="18" t="inlineStr">
        <is>
          <t>GDC e-book - franquia</t>
        </is>
      </c>
      <c r="B29" s="20" t="n">
        <v>25</v>
      </c>
      <c r="C29" s="24" t="n">
        <v>5000</v>
      </c>
      <c r="D29" s="24">
        <f>C29/B29</f>
        <v/>
      </c>
      <c r="E29" s="18" t="inlineStr">
        <is>
          <t>Disponibilização do item ou serviço dividindo seu custo total por "franquias" (número de clientes)</t>
        </is>
      </c>
    </row>
    <row r="30" ht="20.1" customHeight="1" s="102">
      <c r="A30" s="18" t="inlineStr">
        <is>
          <t>Honorário - Franquia</t>
        </is>
      </c>
      <c r="B30" s="20" t="n">
        <v>10</v>
      </c>
      <c r="C30" s="24">
        <f>C2</f>
        <v/>
      </c>
      <c r="D30" s="24">
        <f>C30/B30</f>
        <v/>
      </c>
      <c r="E30" s="18" t="inlineStr">
        <is>
          <t>Disponibilização do item ou serviço dividindo seu custo total por "franquias" (número de clientes)</t>
        </is>
      </c>
    </row>
    <row r="31" ht="20.1" customHeight="1" s="102">
      <c r="A31" s="18" t="inlineStr">
        <is>
          <t>Posicionamento de Carreira e-book - franquia</t>
        </is>
      </c>
      <c r="B31" s="20" t="n">
        <v>100</v>
      </c>
      <c r="C31" s="24">
        <f>C26</f>
        <v/>
      </c>
      <c r="D31" s="24">
        <f>C31/B31</f>
        <v/>
      </c>
      <c r="E31" s="18" t="inlineStr">
        <is>
          <t>Disponibilização do item ou serviço dividindo seu custo total por "franquias" (número de clientes)</t>
        </is>
      </c>
    </row>
    <row r="32" ht="20.1" customHeight="1" s="102">
      <c r="A32" s="18" t="inlineStr">
        <is>
          <t>BPlen HUB - franquia</t>
        </is>
      </c>
      <c r="B32" s="20" t="n">
        <v>1000</v>
      </c>
      <c r="C32" s="24">
        <f>C9</f>
        <v/>
      </c>
      <c r="D32" s="24">
        <f>C32/B32</f>
        <v/>
      </c>
      <c r="E32" s="18" t="inlineStr">
        <is>
          <t>Disponibilização do item ou serviço dividindo seu custo total por "franquias" (número de clientes)</t>
        </is>
      </c>
    </row>
    <row r="33" ht="20.1" customHeight="1" s="102">
      <c r="A33" s="18" t="inlineStr">
        <is>
          <t>Área Membro | MentoCoach Dashboard - franquia</t>
        </is>
      </c>
      <c r="B33" s="20" t="n">
        <v>20</v>
      </c>
      <c r="C33" s="24">
        <f>C10</f>
        <v/>
      </c>
      <c r="D33" s="24">
        <f>C33/B33</f>
        <v/>
      </c>
      <c r="E33" s="18" t="inlineStr">
        <is>
          <t>Disponibilização do item ou serviço dividindo seu custo total por "franquias" (número de clientes)</t>
        </is>
      </c>
    </row>
    <row r="34" ht="20.1" customHeight="1" s="102">
      <c r="A34" s="18" t="inlineStr">
        <is>
          <t>Custos Administrativos - franquia</t>
        </is>
      </c>
      <c r="B34" s="20" t="n">
        <v>300</v>
      </c>
      <c r="C34" s="24">
        <f>'Custos gerais'!C4</f>
        <v/>
      </c>
      <c r="D34" s="24">
        <f>C34/B34</f>
        <v/>
      </c>
      <c r="E34" s="18" t="inlineStr">
        <is>
          <t>Disponibilização do item ou serviço dividindo seu custo total por "franquias" (número de clientes)</t>
        </is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F199"/>
  <sheetViews>
    <sheetView topLeftCell="A138" zoomScale="70" zoomScaleNormal="70" workbookViewId="0">
      <selection activeCell="D155" sqref="D155"/>
    </sheetView>
  </sheetViews>
  <sheetFormatPr baseColWidth="8" defaultRowHeight="15.75"/>
  <cols>
    <col width="12" customWidth="1" style="102" min="1" max="1"/>
    <col width="4.5" customWidth="1" style="102" min="2" max="2"/>
    <col width="40" bestFit="1" customWidth="1" style="102" min="3" max="3"/>
    <col width="9.125" customWidth="1" style="102" min="4" max="4"/>
    <col width="19" customWidth="1" style="4" min="5" max="5"/>
    <col width="141" bestFit="1" customWidth="1" style="102" min="6" max="6"/>
  </cols>
  <sheetData>
    <row r="1" ht="20.1" customHeight="1" s="102">
      <c r="C1" s="35" t="inlineStr">
        <is>
          <t>Margem:</t>
        </is>
      </c>
      <c r="D1" s="36" t="n">
        <v>0.2</v>
      </c>
    </row>
    <row r="2" ht="20.1" customHeight="1" s="102"/>
    <row r="3" ht="20.1" customHeight="1" s="102">
      <c r="B3" s="72" t="n"/>
      <c r="C3" s="37" t="inlineStr">
        <is>
          <t>1 to 1</t>
        </is>
      </c>
      <c r="D3" s="37" t="n"/>
      <c r="E3" s="38" t="n"/>
      <c r="F3" s="37" t="n"/>
    </row>
    <row r="4" ht="20.1" customHeight="1" s="102">
      <c r="B4" s="72" t="n"/>
      <c r="C4" s="39" t="inlineStr">
        <is>
          <t>Item</t>
        </is>
      </c>
      <c r="D4" s="39" t="inlineStr">
        <is>
          <t>Unidade</t>
        </is>
      </c>
      <c r="E4" s="40" t="inlineStr">
        <is>
          <t>Custo</t>
        </is>
      </c>
      <c r="F4" s="40" t="inlineStr">
        <is>
          <t>Obs</t>
        </is>
      </c>
    </row>
    <row r="5" ht="20.1" customHeight="1" s="102">
      <c r="B5" s="72" t="n"/>
      <c r="C5" s="41" t="inlineStr">
        <is>
          <t>Custos Administrativos - franquia</t>
        </is>
      </c>
      <c r="D5" s="42" t="n">
        <v>1</v>
      </c>
      <c r="E5" s="43" t="n">
        <v>80</v>
      </c>
      <c r="F5" s="6" t="n"/>
    </row>
    <row r="6" ht="20.1" customHeight="1" s="102">
      <c r="B6" s="72" t="n"/>
      <c r="C6" s="41" t="inlineStr">
        <is>
          <t>Honorário</t>
        </is>
      </c>
      <c r="D6" s="42" t="n">
        <v>45</v>
      </c>
      <c r="E6" s="43">
        <f>D6*'Referencias de Custos'!$D$2</f>
        <v/>
      </c>
    </row>
    <row r="7" ht="20.1" customHeight="1" s="102">
      <c r="B7" s="72" t="n"/>
      <c r="C7" s="44" t="inlineStr">
        <is>
          <t>Subtotal bruto</t>
        </is>
      </c>
      <c r="D7" s="45" t="inlineStr">
        <is>
          <t>-</t>
        </is>
      </c>
      <c r="E7" s="46">
        <f>SUM(E5:E6)</f>
        <v/>
      </c>
      <c r="F7" s="25" t="n"/>
    </row>
    <row r="8" ht="20.1" customHeight="1" s="102">
      <c r="B8" s="72" t="n"/>
      <c r="C8" s="35" t="inlineStr">
        <is>
          <t>Margem</t>
        </is>
      </c>
      <c r="D8" s="42" t="inlineStr">
        <is>
          <t>-</t>
        </is>
      </c>
      <c r="E8" s="43">
        <f>E7*$D$1</f>
        <v/>
      </c>
    </row>
    <row r="9" ht="20.1" customHeight="1" s="102">
      <c r="B9" s="72" t="n"/>
      <c r="C9" s="44" t="inlineStr">
        <is>
          <t>Sub + Margem</t>
        </is>
      </c>
      <c r="D9" s="45" t="inlineStr">
        <is>
          <t>-</t>
        </is>
      </c>
      <c r="E9" s="46">
        <f>E8+E7</f>
        <v/>
      </c>
      <c r="F9" s="25" t="n"/>
    </row>
    <row r="10" ht="20.1" customHeight="1" s="102">
      <c r="B10" s="72" t="n"/>
      <c r="E10" s="3" t="n"/>
    </row>
    <row r="11" ht="20.1" customHeight="1" s="102">
      <c r="B11" s="72" t="n"/>
      <c r="C11" s="47" t="inlineStr">
        <is>
          <t>Cenário checkout cartão (a)</t>
        </is>
      </c>
      <c r="E11" s="3" t="n"/>
    </row>
    <row r="12" ht="20.1" customHeight="1" s="102">
      <c r="B12" s="72" t="n"/>
      <c r="C12" s="41" t="inlineStr">
        <is>
          <t>Taxa Checkout</t>
        </is>
      </c>
      <c r="D12" s="48" t="n">
        <v>0.05</v>
      </c>
      <c r="E12" s="43">
        <f>E9*D12</f>
        <v/>
      </c>
    </row>
    <row r="13" ht="20.1" customHeight="1" s="102">
      <c r="B13" s="72" t="n"/>
      <c r="C13" s="41" t="inlineStr">
        <is>
          <t>Taxa Imposto</t>
        </is>
      </c>
      <c r="D13" s="48" t="n">
        <v>0.08</v>
      </c>
      <c r="E13" s="43">
        <f>(E12+E9)*D13</f>
        <v/>
      </c>
    </row>
    <row r="14" ht="20.1" customHeight="1" s="102">
      <c r="B14" s="72" t="n"/>
      <c r="C14" s="44" t="inlineStr">
        <is>
          <t>Total Líquido (a)</t>
        </is>
      </c>
      <c r="D14" s="45" t="inlineStr">
        <is>
          <t>-</t>
        </is>
      </c>
      <c r="E14" s="46">
        <f>SUM(E12:E13,E9)</f>
        <v/>
      </c>
      <c r="F14" s="25" t="n"/>
    </row>
    <row r="15" ht="20.1" customHeight="1" s="102">
      <c r="B15" s="72" t="n"/>
      <c r="C15" s="35" t="inlineStr">
        <is>
          <t>Desconto Máximo (a)</t>
        </is>
      </c>
      <c r="D15" s="48" t="n">
        <v>0.03</v>
      </c>
      <c r="E15" s="43">
        <f>-E14*D15</f>
        <v/>
      </c>
    </row>
    <row r="16" ht="20.1" customHeight="1" s="102">
      <c r="B16" s="72" t="n"/>
      <c r="C16" s="35" t="inlineStr">
        <is>
          <t>Parcelamento Máximo</t>
        </is>
      </c>
      <c r="D16" s="42" t="n">
        <v>0</v>
      </c>
      <c r="E16" s="5" t="n"/>
    </row>
    <row r="17" ht="20.1" customHeight="1" s="102">
      <c r="B17" s="72" t="n"/>
    </row>
    <row r="18" ht="20.1" customHeight="1" s="102">
      <c r="B18" s="72" t="n"/>
      <c r="C18" s="47" t="inlineStr">
        <is>
          <t>Cenário checkout PIX (b)</t>
        </is>
      </c>
      <c r="E18" s="3" t="n"/>
    </row>
    <row r="19" ht="20.1" customHeight="1" s="102">
      <c r="B19" s="72" t="n"/>
      <c r="C19" s="41" t="inlineStr">
        <is>
          <t>Taxa Checkout</t>
        </is>
      </c>
      <c r="D19" s="48" t="n">
        <v>0.01</v>
      </c>
      <c r="E19" s="43">
        <f>E9*D19</f>
        <v/>
      </c>
    </row>
    <row r="20" ht="20.1" customHeight="1" s="102">
      <c r="B20" s="72" t="n"/>
      <c r="C20" s="41" t="inlineStr">
        <is>
          <t>Taxa Imposto</t>
        </is>
      </c>
      <c r="D20" s="48" t="n">
        <v>0.08</v>
      </c>
      <c r="E20" s="43">
        <f>(E19+E9)*D20</f>
        <v/>
      </c>
    </row>
    <row r="21" ht="20.1" customHeight="1" s="102">
      <c r="B21" s="72" t="n"/>
      <c r="C21" s="44" t="inlineStr">
        <is>
          <t>Total Líquido (b)</t>
        </is>
      </c>
      <c r="D21" s="45" t="inlineStr">
        <is>
          <t>-</t>
        </is>
      </c>
      <c r="E21" s="46">
        <f>SUM(E19:E20,$E$9)</f>
        <v/>
      </c>
      <c r="F21" s="25" t="n"/>
    </row>
    <row r="22" ht="20.1" customHeight="1" s="102">
      <c r="B22" s="72" t="n"/>
      <c r="C22" s="35" t="inlineStr">
        <is>
          <t>Desconto Máximo (b)</t>
        </is>
      </c>
      <c r="D22" s="48" t="n">
        <v>0</v>
      </c>
      <c r="E22" s="43">
        <f>-E21*D22</f>
        <v/>
      </c>
    </row>
    <row r="23" ht="20.1" customHeight="1" s="102">
      <c r="B23" s="72" t="n"/>
      <c r="C23" s="12" t="n"/>
      <c r="D23" s="13" t="n"/>
      <c r="E23" s="5" t="n"/>
    </row>
    <row r="24" ht="20.1" customHeight="1" s="102">
      <c r="B24" s="72" t="n"/>
      <c r="C24" s="35" t="inlineStr">
        <is>
          <t>Desconto Membro Bplen</t>
        </is>
      </c>
      <c r="D24" s="49">
        <f>E24/E21</f>
        <v/>
      </c>
      <c r="E24" s="43">
        <f>-(E5)</f>
        <v/>
      </c>
    </row>
    <row r="25" ht="20.1" customHeight="1" s="102">
      <c r="B25" s="72" t="n"/>
      <c r="E25" s="3" t="n"/>
    </row>
    <row r="26" ht="20.1" customHeight="1" s="102">
      <c r="B26" s="72" t="n"/>
      <c r="C26" s="50" t="inlineStr">
        <is>
          <t>Publicidade na Página de serviços?</t>
        </is>
      </c>
      <c r="D26" s="42" t="inlineStr">
        <is>
          <t>Não</t>
        </is>
      </c>
      <c r="E26" s="3" t="n"/>
    </row>
    <row r="27" ht="20.1" customHeight="1" s="102"/>
    <row r="28" ht="20.1" customHeight="1" s="102">
      <c r="B28" s="72" t="n"/>
      <c r="C28" s="37" t="inlineStr">
        <is>
          <t>Posicionamento de Carreira</t>
        </is>
      </c>
      <c r="D28" s="37" t="n"/>
      <c r="E28" s="38" t="n"/>
      <c r="F28" s="37" t="n"/>
    </row>
    <row r="29" ht="20.1" customHeight="1" s="102">
      <c r="B29" s="72" t="n"/>
      <c r="C29" s="39" t="inlineStr">
        <is>
          <t>Item</t>
        </is>
      </c>
      <c r="D29" s="39" t="inlineStr">
        <is>
          <t>Unidade</t>
        </is>
      </c>
      <c r="E29" s="40" t="inlineStr">
        <is>
          <t>Custo</t>
        </is>
      </c>
      <c r="F29" s="40" t="inlineStr">
        <is>
          <t>Obs</t>
        </is>
      </c>
    </row>
    <row r="30" ht="20.1" customHeight="1" s="102">
      <c r="B30" s="72" t="n"/>
      <c r="C30" s="41" t="inlineStr">
        <is>
          <t>Custos Administrativos - franquia</t>
        </is>
      </c>
      <c r="D30" s="42" t="n">
        <v>1</v>
      </c>
      <c r="E30" s="43" t="n">
        <v>80</v>
      </c>
      <c r="F30" s="6" t="n"/>
    </row>
    <row r="31" ht="20.1" customHeight="1" s="102">
      <c r="B31" s="72" t="n"/>
      <c r="C31" s="41" t="inlineStr">
        <is>
          <t>BPlen HUB - franquia</t>
        </is>
      </c>
      <c r="D31" s="42" t="n">
        <v>1</v>
      </c>
      <c r="E31" s="43" t="n">
        <v>29.08</v>
      </c>
      <c r="F31" s="6" t="n"/>
    </row>
    <row r="32" ht="20.1" customHeight="1" s="102">
      <c r="B32" s="72" t="n"/>
      <c r="C32" s="41" t="inlineStr">
        <is>
          <t>Posicionamento de Carreira e-book - franquia</t>
        </is>
      </c>
      <c r="D32" s="42" t="n">
        <v>1</v>
      </c>
      <c r="E32" s="43">
        <f>'Referencias de Custos'!D31</f>
        <v/>
      </c>
      <c r="F32" s="6" t="n"/>
    </row>
    <row r="33" ht="20.1" customHeight="1" s="102">
      <c r="B33" s="72" t="n"/>
      <c r="C33" s="41" t="inlineStr">
        <is>
          <t>Honorário</t>
        </is>
      </c>
      <c r="D33" s="42" t="n">
        <v>90</v>
      </c>
      <c r="E33" s="43">
        <f>D33*'Referencias de Custos'!$D$2</f>
        <v/>
      </c>
      <c r="F33" s="50" t="inlineStr">
        <is>
          <t>1 to 1 (30min), Devolutiva (60min)</t>
        </is>
      </c>
    </row>
    <row r="34" ht="20.1" customHeight="1" s="102">
      <c r="B34" s="72" t="n"/>
      <c r="C34" s="44" t="inlineStr">
        <is>
          <t>Subtotal bruto</t>
        </is>
      </c>
      <c r="D34" s="45" t="inlineStr">
        <is>
          <t>-</t>
        </is>
      </c>
      <c r="E34" s="46">
        <f>SUM(E30:E33)</f>
        <v/>
      </c>
      <c r="F34" s="51" t="n"/>
    </row>
    <row r="35" ht="20.1" customHeight="1" s="102">
      <c r="B35" s="72" t="n"/>
      <c r="C35" s="35" t="inlineStr">
        <is>
          <t>Margem</t>
        </is>
      </c>
      <c r="D35" s="42" t="inlineStr">
        <is>
          <t>-</t>
        </is>
      </c>
      <c r="E35" s="43">
        <f>E34*$D$1</f>
        <v/>
      </c>
      <c r="F35" s="6" t="n"/>
    </row>
    <row r="36" ht="20.1" customHeight="1" s="102">
      <c r="B36" s="72" t="n"/>
      <c r="C36" s="44" t="inlineStr">
        <is>
          <t>Sub + Margem</t>
        </is>
      </c>
      <c r="D36" s="45" t="inlineStr">
        <is>
          <t>-</t>
        </is>
      </c>
      <c r="E36" s="46">
        <f>E35+E34</f>
        <v/>
      </c>
      <c r="F36" s="51" t="n"/>
    </row>
    <row r="37" ht="20.1" customHeight="1" s="102">
      <c r="B37" s="72" t="n"/>
      <c r="E37" s="3" t="n"/>
    </row>
    <row r="38" ht="20.1" customHeight="1" s="102">
      <c r="B38" s="72" t="n"/>
      <c r="C38" s="47" t="inlineStr">
        <is>
          <t>Cenário checkout cartão (a)</t>
        </is>
      </c>
      <c r="E38" s="3" t="n"/>
    </row>
    <row r="39" ht="20.1" customHeight="1" s="102">
      <c r="B39" s="72" t="n"/>
      <c r="C39" s="41" t="inlineStr">
        <is>
          <t>Taxa Checkout</t>
        </is>
      </c>
      <c r="D39" s="48" t="n">
        <v>0.05</v>
      </c>
      <c r="E39" s="43">
        <f>E36*D39</f>
        <v/>
      </c>
    </row>
    <row r="40" ht="20.1" customHeight="1" s="102">
      <c r="B40" s="72" t="n"/>
      <c r="C40" s="41" t="inlineStr">
        <is>
          <t>Taxa Imposto</t>
        </is>
      </c>
      <c r="D40" s="48" t="n">
        <v>0.08</v>
      </c>
      <c r="E40" s="43">
        <f>(E39+E36)*D40</f>
        <v/>
      </c>
    </row>
    <row r="41" ht="20.1" customHeight="1" s="102">
      <c r="B41" s="72" t="n"/>
      <c r="C41" s="44" t="inlineStr">
        <is>
          <t>Total Líquido (a)</t>
        </is>
      </c>
      <c r="D41" s="45" t="inlineStr">
        <is>
          <t>-</t>
        </is>
      </c>
      <c r="E41" s="46" t="n">
        <v>930.9</v>
      </c>
      <c r="F41" s="25" t="n"/>
    </row>
    <row r="42" ht="20.1" customHeight="1" s="102">
      <c r="B42" s="72" t="n"/>
      <c r="C42" s="35" t="inlineStr">
        <is>
          <t>Desconto Máximo (a)</t>
        </is>
      </c>
      <c r="D42" s="48" t="n">
        <v>0.03</v>
      </c>
      <c r="E42" s="43">
        <f>-E41*D42</f>
        <v/>
      </c>
    </row>
    <row r="43" ht="20.1" customHeight="1" s="102">
      <c r="B43" s="72" t="n"/>
      <c r="C43" s="35" t="inlineStr">
        <is>
          <t>Parcelamento Máximo</t>
        </is>
      </c>
      <c r="D43" s="42" t="n">
        <v>3</v>
      </c>
      <c r="E43" s="52">
        <f>E41/D43</f>
        <v/>
      </c>
    </row>
    <row r="44" ht="20.1" customHeight="1" s="102">
      <c r="B44" s="72" t="n"/>
    </row>
    <row r="45" ht="20.1" customHeight="1" s="102">
      <c r="B45" s="72" t="n"/>
      <c r="C45" s="47" t="inlineStr">
        <is>
          <t>Cenário checkout PIX (b)</t>
        </is>
      </c>
      <c r="E45" s="3" t="n"/>
    </row>
    <row r="46" ht="20.1" customHeight="1" s="102">
      <c r="B46" s="72" t="n"/>
      <c r="C46" s="41" t="inlineStr">
        <is>
          <t>Taxa Checkout</t>
        </is>
      </c>
      <c r="D46" s="48" t="n">
        <v>0.01</v>
      </c>
      <c r="E46" s="43">
        <f>E36*D46</f>
        <v/>
      </c>
    </row>
    <row r="47" ht="20.1" customHeight="1" s="102">
      <c r="B47" s="72" t="n"/>
      <c r="C47" s="41" t="inlineStr">
        <is>
          <t>Taxa Imposto</t>
        </is>
      </c>
      <c r="D47" s="48" t="n">
        <v>0.08</v>
      </c>
      <c r="E47" s="43">
        <f>(E46+E36)*D47</f>
        <v/>
      </c>
    </row>
    <row r="48" ht="20.1" customHeight="1" s="102">
      <c r="B48" s="72" t="n"/>
      <c r="C48" s="44" t="inlineStr">
        <is>
          <t>Total Líquido (b)</t>
        </is>
      </c>
      <c r="D48" s="45" t="inlineStr">
        <is>
          <t>-</t>
        </is>
      </c>
      <c r="E48" s="46" t="n">
        <v>895.4299999999999</v>
      </c>
      <c r="F48" s="25" t="n"/>
    </row>
    <row r="49" ht="20.1" customHeight="1" s="102">
      <c r="B49" s="72" t="n"/>
      <c r="C49" s="35" t="inlineStr">
        <is>
          <t>Desconto Máximo (b)</t>
        </is>
      </c>
      <c r="D49" s="48" t="n">
        <v>0</v>
      </c>
      <c r="E49" s="43">
        <f>-E48*D49</f>
        <v/>
      </c>
    </row>
    <row r="50" ht="20.1" customHeight="1" s="102">
      <c r="B50" s="72" t="n"/>
      <c r="C50" s="12" t="n"/>
      <c r="D50" s="13" t="n"/>
      <c r="E50" s="5" t="n"/>
    </row>
    <row r="51" ht="20.1" customHeight="1" s="102">
      <c r="B51" s="72" t="n"/>
      <c r="C51" s="35" t="inlineStr">
        <is>
          <t>Desconto Membro Bplen</t>
        </is>
      </c>
      <c r="D51" s="49">
        <f>E51/E48</f>
        <v/>
      </c>
      <c r="E51" s="43">
        <f>-(E30+E31)</f>
        <v/>
      </c>
    </row>
    <row r="52" ht="20.1" customHeight="1" s="102">
      <c r="B52" s="72" t="n"/>
      <c r="E52" s="3" t="n"/>
    </row>
    <row r="53" ht="20.1" customHeight="1" s="102">
      <c r="B53" s="72" t="n"/>
      <c r="D53" s="2" t="n"/>
      <c r="E53" s="3" t="n"/>
      <c r="F53" s="6" t="n"/>
    </row>
    <row r="54" ht="20.1" customHeight="1" s="102">
      <c r="B54" s="72" t="n"/>
      <c r="C54" s="50" t="inlineStr">
        <is>
          <t>Publicidade na Página de serviços?</t>
        </is>
      </c>
      <c r="D54" s="42" t="inlineStr">
        <is>
          <t>Sim</t>
        </is>
      </c>
    </row>
    <row r="55" ht="20.1" customHeight="1" s="102"/>
    <row r="56" ht="20.1" customHeight="1" s="102">
      <c r="B56" s="72" t="n"/>
      <c r="C56" s="37" t="inlineStr">
        <is>
          <t>Análise Comportamental</t>
        </is>
      </c>
      <c r="D56" s="37" t="n"/>
      <c r="E56" s="38" t="n"/>
      <c r="F56" s="37" t="n"/>
    </row>
    <row r="57" ht="20.1" customHeight="1" s="102">
      <c r="B57" s="72" t="n"/>
      <c r="C57" s="39" t="inlineStr">
        <is>
          <t>Item</t>
        </is>
      </c>
      <c r="D57" s="39" t="inlineStr">
        <is>
          <t>Unidade</t>
        </is>
      </c>
      <c r="E57" s="40" t="inlineStr">
        <is>
          <t>Custo</t>
        </is>
      </c>
      <c r="F57" s="40" t="inlineStr">
        <is>
          <t>Obs</t>
        </is>
      </c>
    </row>
    <row r="58" ht="20.1" customHeight="1" s="102">
      <c r="B58" s="72" t="n"/>
      <c r="C58" s="41" t="inlineStr">
        <is>
          <t>Custos Administrativos - franquia</t>
        </is>
      </c>
      <c r="D58" s="42" t="n">
        <v>1</v>
      </c>
      <c r="E58" s="43" t="n">
        <v>80</v>
      </c>
      <c r="F58" s="6" t="n"/>
    </row>
    <row r="59" ht="20.1" customHeight="1" s="102">
      <c r="B59" s="72" t="n"/>
      <c r="C59" s="41" t="inlineStr">
        <is>
          <t>BPlen HUB - franquia</t>
        </is>
      </c>
      <c r="D59" s="42" t="n">
        <v>1</v>
      </c>
      <c r="E59" s="43" t="n">
        <v>29.08</v>
      </c>
      <c r="F59" s="6" t="n"/>
    </row>
    <row r="60" ht="20.1" customHeight="1" s="102">
      <c r="B60" s="72" t="n"/>
      <c r="C60" s="41" t="inlineStr">
        <is>
          <t>Área Membro</t>
        </is>
      </c>
      <c r="D60" s="42" t="n">
        <v>1</v>
      </c>
      <c r="E60" s="43" t="n">
        <v>15</v>
      </c>
    </row>
    <row r="61" ht="20.1" customHeight="1" s="102">
      <c r="B61" s="72" t="n"/>
      <c r="C61" s="41" t="inlineStr">
        <is>
          <t>Relatório DISC</t>
        </is>
      </c>
      <c r="D61" s="42" t="n">
        <v>1</v>
      </c>
      <c r="E61" s="43" t="n">
        <v>160</v>
      </c>
    </row>
    <row r="62" ht="20.1" customHeight="1" s="102">
      <c r="B62" s="72" t="n"/>
      <c r="C62" s="41" t="inlineStr">
        <is>
          <t>Relatório de Análise Comportamental</t>
        </is>
      </c>
      <c r="D62" s="42" t="n">
        <v>1</v>
      </c>
      <c r="E62" s="43" t="n">
        <v>160</v>
      </c>
    </row>
    <row r="63" ht="20.1" customHeight="1" s="102">
      <c r="B63" s="72" t="n"/>
      <c r="C63" s="41" t="inlineStr">
        <is>
          <t>Honorário</t>
        </is>
      </c>
      <c r="D63" s="42" t="n">
        <v>120</v>
      </c>
      <c r="E63" s="43">
        <f>D63*'Referencias de Custos'!$D$2</f>
        <v/>
      </c>
      <c r="F63" s="41" t="inlineStr">
        <is>
          <t>Análise Comportamental (60min), Devolutiva Comportamental (60min)</t>
        </is>
      </c>
    </row>
    <row r="64" ht="20.1" customHeight="1" s="102">
      <c r="B64" s="72" t="n"/>
      <c r="C64" s="41" t="inlineStr">
        <is>
          <t>Honorário - Franquia</t>
        </is>
      </c>
      <c r="D64" s="42" t="n">
        <v>2</v>
      </c>
      <c r="E64" s="43">
        <f>D64*'Referencias de Custos'!$D$30</f>
        <v/>
      </c>
      <c r="F64" s="41" t="inlineStr">
        <is>
          <t>Onboarding (60min), Offboarding (60min)</t>
        </is>
      </c>
    </row>
    <row r="65" ht="20.1" customHeight="1" s="102">
      <c r="B65" s="72" t="n"/>
      <c r="C65" s="44" t="inlineStr">
        <is>
          <t>Subtotal bruto</t>
        </is>
      </c>
      <c r="D65" s="45" t="inlineStr">
        <is>
          <t>-</t>
        </is>
      </c>
      <c r="E65" s="46">
        <f>SUM(E58:E64)</f>
        <v/>
      </c>
      <c r="F65" s="25" t="n"/>
    </row>
    <row r="66" ht="20.1" customHeight="1" s="102">
      <c r="B66" s="72" t="n"/>
      <c r="C66" s="35" t="inlineStr">
        <is>
          <t>Margem</t>
        </is>
      </c>
      <c r="D66" s="42" t="inlineStr">
        <is>
          <t>-</t>
        </is>
      </c>
      <c r="E66" s="43">
        <f>E65*$D$1</f>
        <v/>
      </c>
    </row>
    <row r="67" ht="20.1" customHeight="1" s="102">
      <c r="B67" s="72" t="n"/>
      <c r="C67" s="44" t="inlineStr">
        <is>
          <t>Sub + Margem</t>
        </is>
      </c>
      <c r="D67" s="45" t="inlineStr">
        <is>
          <t>-</t>
        </is>
      </c>
      <c r="E67" s="46">
        <f>E66+E65</f>
        <v/>
      </c>
      <c r="F67" s="25" t="n"/>
    </row>
    <row r="68" ht="20.1" customHeight="1" s="102">
      <c r="B68" s="72" t="n"/>
      <c r="E68" s="3" t="n"/>
    </row>
    <row r="69" ht="20.1" customHeight="1" s="102">
      <c r="B69" s="72" t="n"/>
      <c r="C69" s="47" t="inlineStr">
        <is>
          <t>Cenário checkout cartão (a)</t>
        </is>
      </c>
      <c r="E69" s="3" t="n"/>
    </row>
    <row r="70" ht="20.1" customHeight="1" s="102">
      <c r="B70" s="72" t="n"/>
      <c r="C70" s="41" t="inlineStr">
        <is>
          <t>Taxa Checkout</t>
        </is>
      </c>
      <c r="D70" s="48" t="n">
        <v>0.05</v>
      </c>
      <c r="E70" s="43">
        <f>E67*D70</f>
        <v/>
      </c>
    </row>
    <row r="71" ht="20.1" customHeight="1" s="102">
      <c r="B71" s="72" t="n"/>
      <c r="C71" s="41" t="inlineStr">
        <is>
          <t>Taxa Imposto</t>
        </is>
      </c>
      <c r="D71" s="48" t="n">
        <v>0.08</v>
      </c>
      <c r="E71" s="43">
        <f>(E70+E67)*D71</f>
        <v/>
      </c>
    </row>
    <row r="72" ht="20.1" customHeight="1" s="102">
      <c r="B72" s="72" t="n"/>
      <c r="C72" s="44" t="inlineStr">
        <is>
          <t>Total Líquido (a)</t>
        </is>
      </c>
      <c r="D72" s="45" t="inlineStr">
        <is>
          <t>-</t>
        </is>
      </c>
      <c r="E72" s="46" t="n">
        <v>1652.12</v>
      </c>
      <c r="F72" s="25" t="n"/>
    </row>
    <row r="73" ht="20.1" customHeight="1" s="102">
      <c r="B73" s="72" t="n"/>
      <c r="C73" s="35" t="inlineStr">
        <is>
          <t>Desconto Máximo (a)</t>
        </is>
      </c>
      <c r="D73" s="48" t="n">
        <v>0.03</v>
      </c>
      <c r="E73" s="43">
        <f>-E72*D73</f>
        <v/>
      </c>
    </row>
    <row r="74" ht="20.1" customHeight="1" s="102">
      <c r="B74" s="72" t="n"/>
      <c r="C74" s="35" t="inlineStr">
        <is>
          <t>Parcelamento Máximo</t>
        </is>
      </c>
      <c r="D74" s="42" t="n">
        <v>5</v>
      </c>
      <c r="E74" s="52">
        <f>E72/D74</f>
        <v/>
      </c>
    </row>
    <row r="75" ht="20.1" customHeight="1" s="102">
      <c r="B75" s="72" t="n"/>
    </row>
    <row r="76" ht="20.1" customHeight="1" s="102">
      <c r="B76" s="72" t="n"/>
      <c r="C76" s="47" t="inlineStr">
        <is>
          <t>Cenário checkout PIX (b)</t>
        </is>
      </c>
      <c r="E76" s="3" t="n"/>
    </row>
    <row r="77" ht="20.1" customHeight="1" s="102">
      <c r="B77" s="72" t="n"/>
      <c r="C77" s="41" t="inlineStr">
        <is>
          <t>Taxa Checkout</t>
        </is>
      </c>
      <c r="D77" s="48" t="n">
        <v>0.01</v>
      </c>
      <c r="E77" s="43">
        <f>E67*D77</f>
        <v/>
      </c>
    </row>
    <row r="78" ht="20.1" customHeight="1" s="102">
      <c r="B78" s="72" t="n"/>
      <c r="C78" s="41" t="inlineStr">
        <is>
          <t>Taxa Imposto</t>
        </is>
      </c>
      <c r="D78" s="48" t="n">
        <v>0.08</v>
      </c>
      <c r="E78" s="43">
        <f>(E77+E67)*D78</f>
        <v/>
      </c>
    </row>
    <row r="79" ht="20.1" customHeight="1" s="102">
      <c r="B79" s="72" t="n"/>
      <c r="C79" s="44" t="inlineStr">
        <is>
          <t>Total Líquido (b)</t>
        </is>
      </c>
      <c r="D79" s="45" t="inlineStr">
        <is>
          <t>-</t>
        </is>
      </c>
      <c r="E79" s="46" t="n">
        <v>1589.18</v>
      </c>
      <c r="F79" s="25" t="n"/>
    </row>
    <row r="80" ht="20.1" customHeight="1" s="102">
      <c r="B80" s="72" t="n"/>
      <c r="C80" s="35" t="inlineStr">
        <is>
          <t>Desconto Máximo (b)</t>
        </is>
      </c>
      <c r="D80" s="48" t="n">
        <v>0</v>
      </c>
      <c r="E80" s="43">
        <f>-E79*D80</f>
        <v/>
      </c>
    </row>
    <row r="81" ht="20.1" customHeight="1" s="102">
      <c r="B81" s="72" t="n"/>
      <c r="C81" s="12" t="n"/>
      <c r="D81" s="13" t="n"/>
      <c r="E81" s="5" t="n"/>
    </row>
    <row r="82" ht="20.1" customHeight="1" s="102">
      <c r="B82" s="72" t="n"/>
      <c r="C82" s="35" t="inlineStr">
        <is>
          <t>Desconto Membro Bplen</t>
        </is>
      </c>
      <c r="D82" s="49">
        <f>E82/E79</f>
        <v/>
      </c>
      <c r="E82" s="43">
        <f>-(E58+E59+E60+350)</f>
        <v/>
      </c>
    </row>
    <row r="83" ht="20.1" customHeight="1" s="102">
      <c r="B83" s="72" t="n"/>
      <c r="D83" s="2" t="n"/>
      <c r="E83" s="3" t="n"/>
    </row>
    <row r="84" ht="20.1" customHeight="1" s="102">
      <c r="B84" s="72" t="n"/>
      <c r="C84" s="50" t="inlineStr">
        <is>
          <t>Publicidade na Página de serviços?</t>
        </is>
      </c>
      <c r="D84" s="42" t="inlineStr">
        <is>
          <t>Sim</t>
        </is>
      </c>
      <c r="E84" s="3" t="n"/>
    </row>
    <row r="85" ht="20.1" customHeight="1" s="102"/>
    <row r="86" ht="20.1" customHeight="1" s="102">
      <c r="B86" s="72" t="n"/>
      <c r="C86" s="37" t="inlineStr">
        <is>
          <t>Plano de Carreira</t>
        </is>
      </c>
      <c r="D86" s="37" t="n"/>
      <c r="E86" s="38" t="n"/>
      <c r="F86" s="37" t="n"/>
    </row>
    <row r="87" ht="20.1" customHeight="1" s="102">
      <c r="B87" s="72" t="n"/>
      <c r="C87" s="39" t="inlineStr">
        <is>
          <t>Item</t>
        </is>
      </c>
      <c r="D87" s="39" t="inlineStr">
        <is>
          <t>Unidade</t>
        </is>
      </c>
      <c r="E87" s="40" t="inlineStr">
        <is>
          <t>Custo</t>
        </is>
      </c>
      <c r="F87" s="40" t="inlineStr">
        <is>
          <t>Obs</t>
        </is>
      </c>
    </row>
    <row r="88" ht="20.1" customHeight="1" s="102">
      <c r="B88" s="72" t="n"/>
      <c r="C88" s="41" t="inlineStr">
        <is>
          <t>Custos Administrativos - franquia</t>
        </is>
      </c>
      <c r="D88" s="42" t="n">
        <v>1</v>
      </c>
      <c r="E88" s="43" t="n">
        <v>80</v>
      </c>
      <c r="F88" s="6" t="n"/>
    </row>
    <row r="89" ht="20.1" customHeight="1" s="102">
      <c r="B89" s="72" t="n"/>
      <c r="C89" s="41" t="inlineStr">
        <is>
          <t>BPlen HUB - franquia</t>
        </is>
      </c>
      <c r="D89" s="42" t="n">
        <v>1</v>
      </c>
      <c r="E89" s="43" t="n">
        <v>29.08</v>
      </c>
      <c r="F89" s="6" t="n"/>
    </row>
    <row r="90" ht="20.1" customHeight="1" s="102">
      <c r="B90" s="72" t="n"/>
      <c r="C90" s="41" t="inlineStr">
        <is>
          <t>Área Membro</t>
        </is>
      </c>
      <c r="D90" s="42" t="n">
        <v>1</v>
      </c>
      <c r="E90" s="43" t="n">
        <v>15</v>
      </c>
    </row>
    <row r="91" ht="20.1" customHeight="1" s="102">
      <c r="B91" s="72" t="n"/>
      <c r="C91" s="41" t="inlineStr">
        <is>
          <t>Relatório PDI</t>
        </is>
      </c>
      <c r="D91" s="42" t="n">
        <v>1</v>
      </c>
      <c r="E91" s="43" t="n">
        <v>160</v>
      </c>
    </row>
    <row r="92" ht="20.1" customHeight="1" s="102">
      <c r="B92" s="72" t="n"/>
      <c r="C92" s="41" t="inlineStr">
        <is>
          <t>Honorário</t>
        </is>
      </c>
      <c r="D92" s="42" t="n">
        <v>180</v>
      </c>
      <c r="E92" s="43">
        <f>D92*'Referencias de Custos'!$D$2</f>
        <v/>
      </c>
      <c r="F92" s="41" t="inlineStr">
        <is>
          <t>Análise de Plano de Carreira (60min), Devolutiva  de Plano de Carreira (60min), Avaliação de Elegibilidade para Plano de Carreira (60min)</t>
        </is>
      </c>
    </row>
    <row r="93" ht="20.1" customHeight="1" s="102">
      <c r="B93" s="72" t="n"/>
      <c r="C93" s="41" t="inlineStr">
        <is>
          <t>Honorário - Franquia</t>
        </is>
      </c>
      <c r="D93" s="42" t="n">
        <v>2</v>
      </c>
      <c r="E93" s="43">
        <f>D93*'Referencias de Custos'!$D$30</f>
        <v/>
      </c>
      <c r="F93" s="41" t="inlineStr">
        <is>
          <t>Onboarding (60min), Offboarding (60min)</t>
        </is>
      </c>
    </row>
    <row r="94" ht="20.1" customHeight="1" s="102">
      <c r="B94" s="72" t="n"/>
      <c r="D94" s="2" t="n"/>
      <c r="E94" s="3" t="n"/>
    </row>
    <row r="95" ht="20.1" customHeight="1" s="102">
      <c r="B95" s="72" t="n"/>
      <c r="C95" s="44" t="inlineStr">
        <is>
          <t>Subtotal bruto</t>
        </is>
      </c>
      <c r="D95" s="45" t="inlineStr">
        <is>
          <t>-</t>
        </is>
      </c>
      <c r="E95" s="46">
        <f>SUM(E88:E93)</f>
        <v/>
      </c>
      <c r="F95" s="25" t="n"/>
    </row>
    <row r="96" ht="20.1" customHeight="1" s="102">
      <c r="B96" s="72" t="n"/>
      <c r="C96" s="35" t="inlineStr">
        <is>
          <t>Margem</t>
        </is>
      </c>
      <c r="D96" s="42" t="inlineStr">
        <is>
          <t>-</t>
        </is>
      </c>
      <c r="E96" s="43">
        <f>E95*$D$1</f>
        <v/>
      </c>
    </row>
    <row r="97" ht="20.1" customHeight="1" s="102">
      <c r="B97" s="72" t="n"/>
      <c r="C97" s="44" t="inlineStr">
        <is>
          <t>Sub + Margem</t>
        </is>
      </c>
      <c r="D97" s="45" t="inlineStr">
        <is>
          <t>-</t>
        </is>
      </c>
      <c r="E97" s="46">
        <f>E96+E95</f>
        <v/>
      </c>
      <c r="F97" s="25" t="n"/>
    </row>
    <row r="98" ht="20.1" customHeight="1" s="102">
      <c r="B98" s="72" t="n"/>
      <c r="E98" s="3" t="n"/>
    </row>
    <row r="99" ht="20.1" customHeight="1" s="102">
      <c r="B99" s="72" t="n"/>
      <c r="C99" s="47" t="inlineStr">
        <is>
          <t>Cenário checkout cartão (a)</t>
        </is>
      </c>
      <c r="E99" s="3" t="n"/>
    </row>
    <row r="100" ht="20.1" customHeight="1" s="102">
      <c r="B100" s="72" t="n"/>
      <c r="C100" s="41" t="inlineStr">
        <is>
          <t>Taxa Checkout</t>
        </is>
      </c>
      <c r="D100" s="48" t="n">
        <v>0.05</v>
      </c>
      <c r="E100" s="43">
        <f>E97*D100</f>
        <v/>
      </c>
    </row>
    <row r="101" ht="20.1" customHeight="1" s="102">
      <c r="B101" s="72" t="n"/>
      <c r="C101" s="41" t="inlineStr">
        <is>
          <t>Taxa Imposto</t>
        </is>
      </c>
      <c r="D101" s="48" t="n">
        <v>0.08</v>
      </c>
      <c r="E101" s="43">
        <f>(E100+E97)*D101</f>
        <v/>
      </c>
    </row>
    <row r="102" ht="20.1" customHeight="1" s="102">
      <c r="B102" s="72" t="n"/>
      <c r="C102" s="44" t="inlineStr">
        <is>
          <t>Total Líquido (a)</t>
        </is>
      </c>
      <c r="D102" s="45" t="inlineStr">
        <is>
          <t>-</t>
        </is>
      </c>
      <c r="E102" s="46" t="n">
        <v>1910.67</v>
      </c>
      <c r="F102" s="25" t="n"/>
    </row>
    <row r="103" ht="20.1" customHeight="1" s="102">
      <c r="B103" s="72" t="n"/>
      <c r="C103" s="35" t="inlineStr">
        <is>
          <t>Desconto Máximo (a)</t>
        </is>
      </c>
      <c r="D103" s="48" t="n">
        <v>0.03</v>
      </c>
      <c r="E103" s="43">
        <f>-E102*D103</f>
        <v/>
      </c>
    </row>
    <row r="104" ht="20.1" customHeight="1" s="102">
      <c r="B104" s="72" t="n"/>
      <c r="C104" s="35" t="inlineStr">
        <is>
          <t>Parcelamento Máximo</t>
        </is>
      </c>
      <c r="D104" s="42" t="n">
        <v>5</v>
      </c>
      <c r="E104" s="52">
        <f>E102/D104</f>
        <v/>
      </c>
    </row>
    <row r="105" ht="20.1" customHeight="1" s="102">
      <c r="B105" s="72" t="n"/>
    </row>
    <row r="106" ht="20.1" customHeight="1" s="102">
      <c r="B106" s="72" t="n"/>
      <c r="C106" s="47" t="inlineStr">
        <is>
          <t>Cenário checkout PIX (b)</t>
        </is>
      </c>
      <c r="E106" s="3" t="n"/>
    </row>
    <row r="107" ht="20.1" customHeight="1" s="102">
      <c r="B107" s="72" t="n"/>
      <c r="C107" s="41" t="inlineStr">
        <is>
          <t>Taxa Checkout</t>
        </is>
      </c>
      <c r="D107" s="48" t="n">
        <v>0.01</v>
      </c>
      <c r="E107" s="43">
        <f>E97*D107</f>
        <v/>
      </c>
    </row>
    <row r="108" ht="20.1" customHeight="1" s="102">
      <c r="B108" s="72" t="n"/>
      <c r="C108" s="41" t="inlineStr">
        <is>
          <t>Taxa Imposto</t>
        </is>
      </c>
      <c r="D108" s="48" t="n">
        <v>0.08</v>
      </c>
      <c r="E108" s="43">
        <f>(E107+E97)*D108</f>
        <v/>
      </c>
    </row>
    <row r="109" ht="20.1" customHeight="1" s="102">
      <c r="B109" s="72" t="n"/>
      <c r="C109" s="44" t="inlineStr">
        <is>
          <t>Total Líquido (b)</t>
        </is>
      </c>
      <c r="D109" s="45" t="inlineStr">
        <is>
          <t>-</t>
        </is>
      </c>
      <c r="E109" s="46" t="n">
        <v>1837.88</v>
      </c>
      <c r="F109" s="25" t="n"/>
    </row>
    <row r="110" ht="20.1" customHeight="1" s="102">
      <c r="B110" s="72" t="n"/>
      <c r="C110" s="35" t="inlineStr">
        <is>
          <t>Desconto Máximo (b)</t>
        </is>
      </c>
      <c r="D110" s="48" t="n">
        <v>0</v>
      </c>
      <c r="E110" s="43">
        <f>-E109*D110</f>
        <v/>
      </c>
    </row>
    <row r="111" ht="20.1" customHeight="1" s="102">
      <c r="B111" s="72" t="n"/>
      <c r="C111" s="12" t="n"/>
      <c r="D111" s="13" t="n"/>
      <c r="E111" s="5" t="n"/>
    </row>
    <row r="112" ht="20.1" customHeight="1" s="102">
      <c r="B112" s="72" t="n"/>
      <c r="C112" s="35" t="inlineStr">
        <is>
          <t>Desconto Membro Bplen</t>
        </is>
      </c>
      <c r="D112" s="49">
        <f>E112/E109</f>
        <v/>
      </c>
      <c r="E112" s="43">
        <f>-(E88+E89+E90+350)</f>
        <v/>
      </c>
      <c r="F112" s="41" t="inlineStr">
        <is>
          <t>Desconto condicionado a conclusão da etapa Análise Comportamental</t>
        </is>
      </c>
    </row>
    <row r="113" ht="20.1" customHeight="1" s="102">
      <c r="B113" s="72" t="n"/>
      <c r="D113" s="2" t="n"/>
      <c r="E113" s="3" t="n"/>
    </row>
    <row r="114" ht="20.1" customHeight="1" s="102">
      <c r="B114" s="72" t="n"/>
      <c r="C114" s="50" t="inlineStr">
        <is>
          <t>Publicidade na Página de serviços?</t>
        </is>
      </c>
      <c r="D114" s="42" t="inlineStr">
        <is>
          <t>Sim</t>
        </is>
      </c>
      <c r="E114" s="3" t="n"/>
    </row>
    <row r="115" ht="20.1" customHeight="1" s="102">
      <c r="B115" s="72" t="n"/>
      <c r="C115" s="50" t="inlineStr">
        <is>
          <t>Obs:</t>
        </is>
      </c>
      <c r="D115" s="47" t="inlineStr">
        <is>
          <t>O serviço apenas poderá ser obtido por clientes que já concluíram a etapa de análise comportamental da Bplen ou aprovados no processo de Avaliação de Elegibilidade</t>
        </is>
      </c>
      <c r="E115" s="3" t="n"/>
    </row>
    <row r="116" ht="20.1" customHeight="1" s="102"/>
    <row r="117" ht="20.1" customHeight="1" s="102">
      <c r="B117" s="72" t="n"/>
      <c r="C117" s="37" t="inlineStr">
        <is>
          <t>Gestão e Desenvolvimento de Carreira</t>
        </is>
      </c>
      <c r="D117" s="37" t="n"/>
      <c r="E117" s="38" t="n"/>
      <c r="F117" s="37" t="n"/>
    </row>
    <row r="118" ht="20.1" customHeight="1" s="102">
      <c r="B118" s="72" t="n"/>
      <c r="C118" s="39" t="inlineStr">
        <is>
          <t>Item</t>
        </is>
      </c>
      <c r="D118" s="39" t="inlineStr">
        <is>
          <t>Unidade</t>
        </is>
      </c>
      <c r="E118" s="40" t="inlineStr">
        <is>
          <t>Custo</t>
        </is>
      </c>
      <c r="F118" s="40" t="inlineStr">
        <is>
          <t>Obs</t>
        </is>
      </c>
    </row>
    <row r="119" ht="20.1" customHeight="1" s="102">
      <c r="B119" s="72" t="n"/>
      <c r="C119" s="41" t="inlineStr">
        <is>
          <t>Custos Administrativos - franquia</t>
        </is>
      </c>
      <c r="D119" s="42" t="n">
        <v>1</v>
      </c>
      <c r="E119" s="43" t="n">
        <v>80</v>
      </c>
      <c r="F119" s="6" t="n"/>
    </row>
    <row r="120" ht="20.1" customHeight="1" s="102">
      <c r="B120" s="72" t="n"/>
      <c r="C120" s="41" t="inlineStr">
        <is>
          <t>BPlen HUB - franquia</t>
        </is>
      </c>
      <c r="D120" s="42" t="n">
        <v>1</v>
      </c>
      <c r="E120" s="43" t="n">
        <v>29.08</v>
      </c>
      <c r="F120" s="6" t="n"/>
    </row>
    <row r="121" ht="20.1" customHeight="1" s="102">
      <c r="B121" s="72" t="n"/>
      <c r="C121" s="41" t="inlineStr">
        <is>
          <t>Área Membro</t>
        </is>
      </c>
      <c r="D121" s="42" t="n">
        <v>1</v>
      </c>
      <c r="E121" s="43" t="n">
        <v>15</v>
      </c>
    </row>
    <row r="122" ht="20.1" customHeight="1" s="102">
      <c r="B122" s="72" t="n"/>
      <c r="C122" s="41" t="inlineStr">
        <is>
          <t>Área Membro | GDC Dashboard</t>
        </is>
      </c>
      <c r="D122" s="42" t="n">
        <v>1</v>
      </c>
      <c r="E122" s="43" t="n">
        <v>15</v>
      </c>
    </row>
    <row r="123" ht="20.1" customHeight="1" s="102">
      <c r="B123" s="72" t="n"/>
      <c r="C123" s="41" t="inlineStr">
        <is>
          <t>GDC e-book - franquia</t>
        </is>
      </c>
      <c r="D123" s="42" t="n">
        <v>1</v>
      </c>
      <c r="E123" s="43">
        <f>'Referencias de Custos'!D29</f>
        <v/>
      </c>
    </row>
    <row r="124" ht="20.1" customHeight="1" s="102">
      <c r="B124" s="72" t="n"/>
      <c r="C124" s="41" t="inlineStr">
        <is>
          <t>Honorário</t>
        </is>
      </c>
      <c r="D124" s="42" t="n">
        <v>1380</v>
      </c>
      <c r="E124" s="43">
        <f>D124*'Referencias de Custos'!$D$2</f>
        <v/>
      </c>
      <c r="F124" s="41" t="inlineStr">
        <is>
          <t>Análise (60min), Devolutiva (60min), GDC Orientação (600min), 1 to 1 (600min), Avaliação de Elegibilidade para Plano de Carreira (60min)</t>
        </is>
      </c>
    </row>
    <row r="125" ht="20.1" customHeight="1" s="102">
      <c r="B125" s="72" t="n"/>
      <c r="C125" s="41" t="inlineStr">
        <is>
          <t>Honorário - Franquia</t>
        </is>
      </c>
      <c r="D125" s="42" t="n">
        <v>2</v>
      </c>
      <c r="E125" s="43">
        <f>D125*'Referencias de Custos'!$D$30</f>
        <v/>
      </c>
      <c r="F125" s="41" t="inlineStr">
        <is>
          <t>Onboarding (60min), Offboarding (60min)</t>
        </is>
      </c>
    </row>
    <row r="126" ht="20.1" customHeight="1" s="102">
      <c r="B126" s="72" t="n"/>
      <c r="C126" s="44" t="inlineStr">
        <is>
          <t>Subtotal bruto</t>
        </is>
      </c>
      <c r="D126" s="45" t="inlineStr">
        <is>
          <t>-</t>
        </is>
      </c>
      <c r="E126" s="46">
        <f>SUM(E119:E125)</f>
        <v/>
      </c>
      <c r="F126" s="25" t="n"/>
    </row>
    <row r="127" ht="20.1" customHeight="1" s="102">
      <c r="B127" s="72" t="n"/>
      <c r="C127" s="35" t="inlineStr">
        <is>
          <t>Margem</t>
        </is>
      </c>
      <c r="D127" s="42" t="inlineStr">
        <is>
          <t>-</t>
        </is>
      </c>
      <c r="E127" s="43">
        <f>E126*$D$1</f>
        <v/>
      </c>
    </row>
    <row r="128" ht="20.1" customHeight="1" s="102">
      <c r="B128" s="72" t="n"/>
      <c r="C128" s="44" t="inlineStr">
        <is>
          <t>Sub + Margem</t>
        </is>
      </c>
      <c r="D128" s="45" t="inlineStr">
        <is>
          <t>-</t>
        </is>
      </c>
      <c r="E128" s="46">
        <f>E127+E126</f>
        <v/>
      </c>
      <c r="F128" s="25" t="n"/>
    </row>
    <row r="129" ht="20.1" customHeight="1" s="102">
      <c r="B129" s="72" t="n"/>
      <c r="E129" s="3" t="n"/>
    </row>
    <row r="130" ht="20.1" customHeight="1" s="102">
      <c r="B130" s="72" t="n"/>
      <c r="C130" s="47" t="inlineStr">
        <is>
          <t>Cenário checkout cartão (a)</t>
        </is>
      </c>
      <c r="E130" s="3" t="n"/>
    </row>
    <row r="131" ht="20.1" customHeight="1" s="102">
      <c r="B131" s="72" t="n"/>
      <c r="C131" s="41" t="inlineStr">
        <is>
          <t>Taxa Checkout</t>
        </is>
      </c>
      <c r="D131" s="48" t="n">
        <v>0.05</v>
      </c>
      <c r="E131" s="43">
        <f>E128*D131</f>
        <v/>
      </c>
    </row>
    <row r="132" ht="20.1" customHeight="1" s="102">
      <c r="B132" s="72" t="n"/>
      <c r="C132" s="41" t="inlineStr">
        <is>
          <t>Taxa Imposto</t>
        </is>
      </c>
      <c r="D132" s="48" t="n">
        <v>0.08</v>
      </c>
      <c r="E132" s="43">
        <f>(E131+E128)*D132</f>
        <v/>
      </c>
    </row>
    <row r="133" ht="20.1" customHeight="1" s="102">
      <c r="B133" s="72" t="n"/>
      <c r="C133" s="44" t="inlineStr">
        <is>
          <t>Total Líquido (a)</t>
        </is>
      </c>
      <c r="D133" s="45" t="inlineStr">
        <is>
          <t>-</t>
        </is>
      </c>
      <c r="E133" s="46" t="n">
        <v>11511.12</v>
      </c>
      <c r="F133" s="25" t="n"/>
    </row>
    <row r="134" ht="20.1" customHeight="1" s="102">
      <c r="B134" s="72" t="n"/>
      <c r="C134" s="35" t="inlineStr">
        <is>
          <t>Desconto Máximo (a)</t>
        </is>
      </c>
      <c r="D134" s="48" t="n">
        <v>0.03</v>
      </c>
      <c r="E134" s="43">
        <f>-E133*D134</f>
        <v/>
      </c>
    </row>
    <row r="135" ht="20.1" customHeight="1" s="102">
      <c r="B135" s="72" t="n"/>
      <c r="C135" s="35" t="inlineStr">
        <is>
          <t>Parcelamento Máximo</t>
        </is>
      </c>
      <c r="D135" s="42" t="n">
        <v>12</v>
      </c>
      <c r="E135" s="52">
        <f>E133/D135</f>
        <v/>
      </c>
    </row>
    <row r="136" ht="20.1" customHeight="1" s="102">
      <c r="B136" s="72" t="n"/>
    </row>
    <row r="137" ht="20.1" customHeight="1" s="102">
      <c r="B137" s="72" t="n"/>
      <c r="C137" s="47" t="inlineStr">
        <is>
          <t>Cenário checkout PIX (b)</t>
        </is>
      </c>
      <c r="E137" s="3" t="n"/>
    </row>
    <row r="138" ht="20.1" customHeight="1" s="102">
      <c r="B138" s="72" t="n"/>
      <c r="C138" s="41" t="inlineStr">
        <is>
          <t>Taxa Checkout</t>
        </is>
      </c>
      <c r="D138" s="48" t="n">
        <v>0.01</v>
      </c>
      <c r="E138" s="43">
        <f>E128*D138</f>
        <v/>
      </c>
    </row>
    <row r="139" ht="20.1" customHeight="1" s="102">
      <c r="B139" s="72" t="n"/>
      <c r="C139" s="41" t="inlineStr">
        <is>
          <t>Taxa Imposto</t>
        </is>
      </c>
      <c r="D139" s="48" t="n">
        <v>0.08</v>
      </c>
      <c r="E139" s="43">
        <f>(E138+E128)*D139</f>
        <v/>
      </c>
    </row>
    <row r="140" ht="20.1" customHeight="1" s="102">
      <c r="B140" s="72" t="n"/>
      <c r="C140" s="44" t="inlineStr">
        <is>
          <t>Total Líquido (b)</t>
        </is>
      </c>
      <c r="D140" s="45" t="inlineStr">
        <is>
          <t>-</t>
        </is>
      </c>
      <c r="E140" s="46" t="n">
        <v>11072.6</v>
      </c>
      <c r="F140" s="25" t="n"/>
    </row>
    <row r="141" ht="20.1" customHeight="1" s="102">
      <c r="B141" s="72" t="n"/>
      <c r="C141" s="35" t="inlineStr">
        <is>
          <t>Desconto Máximo (b)</t>
        </is>
      </c>
      <c r="D141" s="48" t="n">
        <v>0</v>
      </c>
      <c r="E141" s="43">
        <f>-E140*D141</f>
        <v/>
      </c>
    </row>
    <row r="142" ht="20.1" customHeight="1" s="102">
      <c r="B142" s="72" t="n"/>
      <c r="C142" s="12" t="n"/>
      <c r="D142" s="13" t="n"/>
      <c r="E142" s="5" t="n"/>
    </row>
    <row r="143" ht="20.1" customHeight="1" s="102">
      <c r="B143" s="72" t="n"/>
      <c r="C143" s="35" t="inlineStr">
        <is>
          <t>Desconto Membro Bplen</t>
        </is>
      </c>
      <c r="D143" s="49">
        <f>E143/E140</f>
        <v/>
      </c>
      <c r="E143" s="43">
        <f>-(E119+E120+E121+350)</f>
        <v/>
      </c>
      <c r="F143" s="41" t="inlineStr">
        <is>
          <t>Desconto condicionado a conclusão da etapa Plano de Carreira</t>
        </is>
      </c>
    </row>
    <row r="144" ht="20.1" customHeight="1" s="102">
      <c r="B144" s="72" t="n"/>
      <c r="D144" s="2" t="n"/>
      <c r="E144" s="3" t="n"/>
    </row>
    <row r="145" ht="20.1" customHeight="1" s="102">
      <c r="B145" s="72" t="n"/>
      <c r="C145" s="50" t="inlineStr">
        <is>
          <t>Publicidade na Página de serviços?</t>
        </is>
      </c>
      <c r="D145" s="42" t="inlineStr">
        <is>
          <t>Sim</t>
        </is>
      </c>
      <c r="E145" s="3" t="n"/>
    </row>
    <row r="146" ht="20.1" customHeight="1" s="102">
      <c r="B146" s="72" t="n"/>
      <c r="C146" s="50" t="inlineStr">
        <is>
          <t>Obs:</t>
        </is>
      </c>
      <c r="D146" s="47" t="inlineStr">
        <is>
          <t>O serviço apenas poderá ser obtido por clientes que já concluíram a etapa de plano de carreira da BPlen ou aprovados no processo de Avaliação de Elegibilidade</t>
        </is>
      </c>
      <c r="E146" s="3" t="n"/>
    </row>
    <row r="147" ht="20.1" customHeight="1" s="102"/>
    <row r="148" ht="20.1" customHeight="1" s="102" thickBot="1">
      <c r="B148" s="72" t="n"/>
      <c r="C148" s="37" t="inlineStr">
        <is>
          <t>Coaching e Mentoria</t>
        </is>
      </c>
      <c r="D148" s="37" t="n"/>
      <c r="E148" s="38" t="n"/>
      <c r="F148" s="37" t="n"/>
    </row>
    <row r="149" ht="20.1" customHeight="1" s="102">
      <c r="B149" s="72" t="n"/>
      <c r="C149" s="65" t="inlineStr">
        <is>
          <t>Item</t>
        </is>
      </c>
      <c r="D149" s="39" t="inlineStr">
        <is>
          <t>Unidade</t>
        </is>
      </c>
      <c r="E149" s="40" t="inlineStr">
        <is>
          <t>Custo</t>
        </is>
      </c>
      <c r="F149" s="40" t="inlineStr">
        <is>
          <t>Obs</t>
        </is>
      </c>
    </row>
    <row r="150" ht="20.1" customHeight="1" s="102">
      <c r="B150" s="72" t="n"/>
      <c r="C150" s="66" t="inlineStr">
        <is>
          <t>Custos Administrativos - franquia</t>
        </is>
      </c>
      <c r="D150" s="42" t="n">
        <v>1</v>
      </c>
      <c r="E150" s="43" t="n">
        <v>80</v>
      </c>
      <c r="F150" s="6" t="n"/>
    </row>
    <row r="151" ht="20.1" customHeight="1" s="102">
      <c r="B151" s="72" t="n"/>
      <c r="C151" s="66" t="inlineStr">
        <is>
          <t>BPlen HUB - franquia</t>
        </is>
      </c>
      <c r="D151" s="42" t="n">
        <v>1</v>
      </c>
      <c r="E151" s="43" t="n">
        <v>29.08</v>
      </c>
      <c r="F151" s="6" t="n"/>
    </row>
    <row r="152" ht="20.1" customHeight="1" s="102">
      <c r="B152" s="72" t="n"/>
      <c r="C152" s="66" t="inlineStr">
        <is>
          <t>Área Membro</t>
        </is>
      </c>
      <c r="D152" s="42" t="n">
        <v>1</v>
      </c>
      <c r="E152" s="43" t="n">
        <v>15</v>
      </c>
    </row>
    <row r="153" ht="20.1" customHeight="1" s="102">
      <c r="B153" s="72" t="n"/>
      <c r="C153" s="66" t="inlineStr">
        <is>
          <t>Área Membro | MentoCoach Dashboard</t>
        </is>
      </c>
      <c r="D153" s="42" t="n">
        <v>1</v>
      </c>
      <c r="E153" s="43" t="n">
        <v>250</v>
      </c>
    </row>
    <row r="154" ht="20.1" customHeight="1" s="102">
      <c r="B154" s="72" t="n"/>
      <c r="C154" s="66" t="inlineStr">
        <is>
          <t>Relatório DISC</t>
        </is>
      </c>
      <c r="D154" s="42" t="n">
        <v>1</v>
      </c>
      <c r="E154" s="43" t="n">
        <v>160</v>
      </c>
    </row>
    <row r="155" ht="20.1" customHeight="1" s="102">
      <c r="B155" s="72" t="n"/>
      <c r="C155" s="66" t="inlineStr">
        <is>
          <t>Honorário</t>
        </is>
      </c>
      <c r="D155" s="42" t="n">
        <v>1020</v>
      </c>
      <c r="E155" s="43">
        <f>D155*'Referencias de Custos'!$D$2</f>
        <v/>
      </c>
      <c r="F155" s="41" t="inlineStr">
        <is>
          <t>Onboarding (60min), Análise (60min), Devolutiva (60min), Sessões (780), Offboarding (60min)</t>
        </is>
      </c>
    </row>
    <row r="156" ht="20.1" customHeight="1" s="102" thickBot="1">
      <c r="B156" s="72" t="n"/>
      <c r="C156" s="67" t="inlineStr">
        <is>
          <t>Subtotal bruto</t>
        </is>
      </c>
      <c r="D156" s="45" t="inlineStr">
        <is>
          <t>-</t>
        </is>
      </c>
      <c r="E156" s="46">
        <f>SUM(E150:E155)</f>
        <v/>
      </c>
      <c r="F156" s="25" t="n"/>
    </row>
    <row r="157" ht="20.1" customHeight="1" s="102" thickTop="1">
      <c r="B157" s="72" t="n"/>
      <c r="C157" s="68" t="inlineStr">
        <is>
          <t>Margem</t>
        </is>
      </c>
      <c r="D157" s="42" t="inlineStr">
        <is>
          <t>-</t>
        </is>
      </c>
      <c r="E157" s="43">
        <f>E156*$D$1</f>
        <v/>
      </c>
    </row>
    <row r="158" ht="20.1" customHeight="1" s="102" thickBot="1">
      <c r="B158" s="72" t="n"/>
      <c r="C158" s="67" t="inlineStr">
        <is>
          <t>Sub + Margem</t>
        </is>
      </c>
      <c r="D158" s="45" t="inlineStr">
        <is>
          <t>-</t>
        </is>
      </c>
      <c r="E158" s="46">
        <f>E157+E156</f>
        <v/>
      </c>
      <c r="F158" s="25" t="n"/>
    </row>
    <row r="159" ht="20.1" customHeight="1" s="102" thickTop="1">
      <c r="B159" s="72" t="n"/>
      <c r="C159" s="69" t="inlineStr">
        <is>
          <t>Cenário checkout cartão (a)</t>
        </is>
      </c>
      <c r="E159" s="3" t="n"/>
    </row>
    <row r="160" ht="20.1" customHeight="1" s="102">
      <c r="B160" s="72" t="n"/>
      <c r="C160" s="66" t="inlineStr">
        <is>
          <t>Taxa Checkout</t>
        </is>
      </c>
      <c r="D160" s="48" t="n">
        <v>0.05</v>
      </c>
      <c r="E160" s="43">
        <f>E158*D160</f>
        <v/>
      </c>
    </row>
    <row r="161" ht="20.1" customHeight="1" s="102">
      <c r="B161" s="72" t="n"/>
      <c r="C161" s="66" t="inlineStr">
        <is>
          <t>Taxa Imposto</t>
        </is>
      </c>
      <c r="D161" s="48" t="n">
        <v>0.08</v>
      </c>
      <c r="E161" s="43">
        <f>(E160+E158)*D161</f>
        <v/>
      </c>
    </row>
    <row r="162" ht="20.1" customHeight="1" s="102" thickBot="1">
      <c r="B162" s="72" t="n"/>
      <c r="C162" s="67" t="inlineStr">
        <is>
          <t>Total Líquido (a)</t>
        </is>
      </c>
      <c r="D162" s="45" t="inlineStr">
        <is>
          <t>-</t>
        </is>
      </c>
      <c r="E162" s="46" t="n">
        <v>8823.540000000001</v>
      </c>
      <c r="F162" s="25" t="n"/>
    </row>
    <row r="163" ht="20.1" customHeight="1" s="102" thickTop="1">
      <c r="B163" s="72" t="n"/>
      <c r="C163" s="68" t="inlineStr">
        <is>
          <t>Desconto Máximo (a)</t>
        </is>
      </c>
      <c r="D163" s="48" t="n">
        <v>0.03</v>
      </c>
      <c r="E163" s="43">
        <f>-E162*D163</f>
        <v/>
      </c>
    </row>
    <row r="164" ht="20.1" customHeight="1" s="102">
      <c r="B164" s="72" t="n"/>
      <c r="C164" s="68" t="inlineStr">
        <is>
          <t>Parcelamento Máximo</t>
        </is>
      </c>
      <c r="D164" s="42" t="n">
        <v>12</v>
      </c>
      <c r="E164" s="52">
        <f>E162/D164</f>
        <v/>
      </c>
    </row>
    <row r="165" ht="20.1" customHeight="1" s="102">
      <c r="B165" s="72" t="n"/>
      <c r="C165" s="70" t="n"/>
    </row>
    <row r="166" ht="20.1" customHeight="1" s="102">
      <c r="B166" s="72" t="n"/>
      <c r="C166" s="69" t="inlineStr">
        <is>
          <t>Cenário checkout PIX (b)</t>
        </is>
      </c>
      <c r="E166" s="3" t="n"/>
    </row>
    <row r="167" ht="20.1" customHeight="1" s="102">
      <c r="B167" s="72" t="n"/>
      <c r="C167" s="66" t="inlineStr">
        <is>
          <t>Taxa Checkout</t>
        </is>
      </c>
      <c r="D167" s="48" t="n">
        <v>0.01</v>
      </c>
      <c r="E167" s="43">
        <f>E158*D167</f>
        <v/>
      </c>
    </row>
    <row r="168" ht="20.1" customHeight="1" s="102">
      <c r="B168" s="72" t="n"/>
      <c r="C168" s="66" t="inlineStr">
        <is>
          <t>Taxa Imposto</t>
        </is>
      </c>
      <c r="D168" s="48" t="n">
        <v>0.08</v>
      </c>
      <c r="E168" s="43">
        <f>(E167+E158)*D168</f>
        <v/>
      </c>
    </row>
    <row r="169" ht="20.1" customHeight="1" s="102" thickBot="1">
      <c r="B169" s="72" t="n"/>
      <c r="C169" s="67" t="inlineStr">
        <is>
          <t>Total Líquido (b)</t>
        </is>
      </c>
      <c r="D169" s="45" t="inlineStr">
        <is>
          <t>-</t>
        </is>
      </c>
      <c r="E169" s="46" t="n">
        <v>8487.4</v>
      </c>
      <c r="F169" s="25" t="n"/>
    </row>
    <row r="170" ht="20.1" customHeight="1" s="102" thickTop="1">
      <c r="B170" s="72" t="n"/>
      <c r="C170" s="68" t="inlineStr">
        <is>
          <t>Desconto Máximo (b)</t>
        </is>
      </c>
      <c r="D170" s="48" t="n">
        <v>0</v>
      </c>
      <c r="E170" s="43">
        <f>-E169*D170</f>
        <v/>
      </c>
    </row>
    <row r="171" ht="20.1" customHeight="1" s="102">
      <c r="B171" s="72" t="n"/>
      <c r="C171" s="71" t="n"/>
      <c r="D171" s="13" t="n"/>
      <c r="E171" s="5" t="n"/>
    </row>
    <row r="172" ht="20.1" customHeight="1" s="102">
      <c r="B172" s="72" t="n"/>
      <c r="C172" s="68" t="inlineStr">
        <is>
          <t>Desconto Membro Bplen (a)</t>
        </is>
      </c>
      <c r="D172" s="49">
        <f>E172/E169</f>
        <v/>
      </c>
      <c r="E172" s="43">
        <f>-(E150+E151+E152+350)</f>
        <v/>
      </c>
    </row>
    <row r="173" ht="20.1" customHeight="1" s="102">
      <c r="B173" s="72" t="n"/>
      <c r="C173" s="68" t="inlineStr">
        <is>
          <t>Desconto Membro Bplen (b)</t>
        </is>
      </c>
      <c r="D173" s="49">
        <f>E173/E158</f>
        <v/>
      </c>
      <c r="E173" s="43">
        <f>-(E65)</f>
        <v/>
      </c>
      <c r="F173" s="41" t="inlineStr">
        <is>
          <t>Desconto condicionado a conclusão da etapa Análise Comportamental</t>
        </is>
      </c>
    </row>
    <row r="174" ht="20.1" customHeight="1" s="102"/>
    <row r="175" ht="20.1" customHeight="1" s="102"/>
    <row r="176" ht="20.1" customHeight="1" s="102"/>
    <row r="177" ht="20.1" customHeight="1" s="102"/>
    <row r="178" ht="20.1" customHeight="1" s="102"/>
    <row r="179" ht="20.1" customHeight="1" s="102"/>
    <row r="180" ht="20.1" customHeight="1" s="102"/>
    <row r="181" ht="20.1" customHeight="1" s="102"/>
    <row r="182" ht="20.1" customHeight="1" s="102"/>
    <row r="183" ht="20.1" customHeight="1" s="102"/>
    <row r="184" ht="20.1" customHeight="1" s="102"/>
    <row r="185" ht="20.1" customHeight="1" s="102"/>
    <row r="186" ht="20.1" customHeight="1" s="102"/>
    <row r="187" ht="20.1" customHeight="1" s="102"/>
    <row r="188" ht="20.1" customHeight="1" s="102"/>
    <row r="189" ht="20.1" customHeight="1" s="102"/>
    <row r="190" ht="20.1" customHeight="1" s="102"/>
    <row r="191" ht="20.1" customHeight="1" s="102"/>
    <row r="192" ht="20.1" customHeight="1" s="102"/>
    <row r="193" ht="20.1" customHeight="1" s="102"/>
    <row r="194" ht="20.1" customHeight="1" s="102"/>
    <row r="195" ht="20.1" customHeight="1" s="102"/>
    <row r="196" ht="20.1" customHeight="1" s="102"/>
    <row r="197" ht="20.1" customHeight="1" s="102"/>
    <row r="198" ht="20.1" customHeight="1" s="102"/>
    <row r="199" ht="20.1" customHeight="1" s="102">
      <c r="C199" s="50" t="inlineStr">
        <is>
          <t>Publicidade na Página de serviços?</t>
        </is>
      </c>
      <c r="D199" s="42" t="inlineStr">
        <is>
          <t>Sim</t>
        </is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24"/>
  <sheetViews>
    <sheetView zoomScale="85" zoomScaleNormal="85" workbookViewId="0">
      <selection activeCell="F39" sqref="F39"/>
    </sheetView>
  </sheetViews>
  <sheetFormatPr baseColWidth="8" defaultRowHeight="15.75"/>
  <cols>
    <col width="12" customWidth="1" style="102" min="1" max="1"/>
    <col width="70" customWidth="1" style="102" min="2" max="2"/>
    <col width="38.375" customWidth="1" style="102" min="3" max="3"/>
    <col width="23.125" customWidth="1" style="102" min="4" max="4"/>
    <col width="21" customWidth="1" style="102" min="5" max="5"/>
    <col width="79" customWidth="1" style="102" min="6" max="6"/>
    <col width="24" customWidth="1" style="102" min="7" max="7"/>
    <col width="28" customWidth="1" style="102" min="8" max="8"/>
    <col width="25" customWidth="1" style="102" min="9" max="9"/>
    <col width="29" customWidth="1" style="102" min="10" max="10"/>
  </cols>
  <sheetData>
    <row r="1" ht="20.1" customHeight="1" s="102"/>
    <row r="2" ht="20.1" customHeight="1" s="102">
      <c r="D2" s="62" t="inlineStr">
        <is>
          <t>BPlen HUB</t>
        </is>
      </c>
    </row>
    <row r="3" ht="20.1" customHeight="1" s="102">
      <c r="D3" s="63" t="inlineStr">
        <is>
          <t>Precificação de Pacotes Estruturados (Deduplicação de Custos &amp; Impostos Simplificados)</t>
        </is>
      </c>
    </row>
    <row r="4" ht="20.1" customHeight="1" s="102"/>
    <row r="5" ht="20.1" customHeight="1" s="102"/>
    <row r="6" ht="20.1" customHeight="1" s="102">
      <c r="B6" s="64" t="inlineStr">
        <is>
          <t>1. Resumo Comercial dos Pacotes de Serviço</t>
        </is>
      </c>
    </row>
    <row r="7" ht="27.95" customHeight="1" s="102">
      <c r="B7" s="14" t="inlineStr">
        <is>
          <t>Pacote</t>
        </is>
      </c>
      <c r="C7" s="14" t="inlineStr">
        <is>
          <t>Composição de Serviços</t>
        </is>
      </c>
      <c r="D7" s="14" t="inlineStr">
        <is>
          <t>Subtotal Bruto</t>
        </is>
      </c>
      <c r="E7" s="14" t="inlineStr">
        <is>
          <t>Margem (20%)</t>
        </is>
      </c>
      <c r="F7" s="14" t="inlineStr">
        <is>
          <t>Preço Cartão</t>
        </is>
      </c>
      <c r="G7" s="14" t="inlineStr">
        <is>
          <t>Preço PIX (Sugerido)</t>
        </is>
      </c>
      <c r="H7" s="14" t="inlineStr">
        <is>
          <t>Soma Individual (Cartão)</t>
        </is>
      </c>
      <c r="I7" s="14" t="inlineStr">
        <is>
          <t>Soma Individual (PIX)</t>
        </is>
      </c>
      <c r="J7" s="14" t="inlineStr">
        <is>
          <t>Economia p/ Cliente (PIX)</t>
        </is>
      </c>
    </row>
    <row r="8" ht="20.1" customHeight="1" s="102">
      <c r="B8" s="53" t="inlineStr">
        <is>
          <t>Junior</t>
        </is>
      </c>
      <c r="C8" s="18" t="inlineStr">
        <is>
          <t>Posicionamento de Carreira</t>
        </is>
      </c>
      <c r="D8" s="24">
        <f>E22</f>
        <v/>
      </c>
      <c r="E8" s="24">
        <f>E23</f>
        <v/>
      </c>
      <c r="F8" s="24" t="n">
        <v>930.9</v>
      </c>
      <c r="G8" s="24" t="n">
        <v>895.4400000000001</v>
      </c>
      <c r="H8" s="24">
        <f>'Custo de Serviços'!$E$41</f>
        <v/>
      </c>
      <c r="I8" s="24">
        <f>'Custo de Serviços'!$E$48</f>
        <v/>
      </c>
      <c r="J8" s="24">
        <f>I8-G8</f>
        <v/>
      </c>
    </row>
    <row r="9" ht="20.1" customHeight="1" s="102">
      <c r="B9" s="54" t="inlineStr">
        <is>
          <t>Pleno</t>
        </is>
      </c>
      <c r="C9" s="15" t="inlineStr">
        <is>
          <t>Junior + Análise Comportamental</t>
        </is>
      </c>
      <c r="D9" s="16">
        <f>E42</f>
        <v/>
      </c>
      <c r="E9" s="16">
        <f>E43</f>
        <v/>
      </c>
      <c r="F9" s="16" t="n">
        <v>2434.58</v>
      </c>
      <c r="G9" s="16" t="n">
        <v>2341.84</v>
      </c>
      <c r="H9" s="16">
        <f>'Custo de Serviços'!$E$41 + 'Custo de Serviços'!$E$72</f>
        <v/>
      </c>
      <c r="I9" s="16">
        <f>'Custo de Serviços'!$E$48 + 'Custo de Serviços'!$E$79</f>
        <v/>
      </c>
      <c r="J9" s="16">
        <f>I9-G9</f>
        <v/>
      </c>
    </row>
    <row r="10" ht="20.1" customHeight="1" s="102">
      <c r="B10" s="53" t="inlineStr">
        <is>
          <t>Senior</t>
        </is>
      </c>
      <c r="C10" s="18" t="inlineStr">
        <is>
          <t>Pleno + Plano de Carreira</t>
        </is>
      </c>
      <c r="D10" s="24">
        <f>E64</f>
        <v/>
      </c>
      <c r="E10" s="24">
        <f>E65</f>
        <v/>
      </c>
      <c r="F10" s="24" t="n">
        <v>4081.15</v>
      </c>
      <c r="G10" s="24" t="n">
        <v>3925.68</v>
      </c>
      <c r="H10" s="24">
        <f>'Custo de Serviços'!$E$41 + 'Custo de Serviços'!$E$72 + 'Custo de Serviços'!$E$102</f>
        <v/>
      </c>
      <c r="I10" s="24">
        <f>'Custo de Serviços'!$E$48 + 'Custo de Serviços'!$E$79 + 'Custo de Serviços'!$E$109</f>
        <v/>
      </c>
      <c r="J10" s="24">
        <f>I10-G10</f>
        <v/>
      </c>
    </row>
    <row r="11" ht="20.1" customHeight="1" s="102">
      <c r="B11" s="54" t="inlineStr">
        <is>
          <t>Lider</t>
        </is>
      </c>
      <c r="C11" s="15" t="inlineStr">
        <is>
          <t>Senior + Gestão e Desenvolvimento (GDC)</t>
        </is>
      </c>
      <c r="D11" s="16">
        <f>E88</f>
        <v/>
      </c>
      <c r="E11" s="16">
        <f>E89</f>
        <v/>
      </c>
      <c r="F11" s="16" t="n">
        <v>15328.16</v>
      </c>
      <c r="G11" s="16" t="n">
        <v>14744.23</v>
      </c>
      <c r="H11" s="16">
        <f>'Custo de Serviços'!$E$41 + 'Custo de Serviços'!$E$72 + 'Custo de Serviços'!$E$102 + 'Custo de Serviços'!$E$133</f>
        <v/>
      </c>
      <c r="I11" s="16">
        <f>'Custo de Serviços'!$E$48 + 'Custo de Serviços'!$E$79 + 'Custo de Serviços'!$E$109 + 'Custo de Serviços'!$E$140</f>
        <v/>
      </c>
      <c r="J11" s="16">
        <f>I11-G11</f>
        <v/>
      </c>
    </row>
    <row r="12" ht="20.1" customHeight="1" s="102">
      <c r="B12" s="55" t="inlineStr">
        <is>
          <t>Embaixador BPlen</t>
        </is>
      </c>
      <c r="C12" s="55" t="inlineStr">
        <is>
          <t>Lider</t>
        </is>
      </c>
      <c r="D12" s="56">
        <f>E112</f>
        <v/>
      </c>
      <c r="E12" s="56">
        <f>E113</f>
        <v/>
      </c>
      <c r="F12" s="56" t="n">
        <v>23765.12</v>
      </c>
      <c r="G12" s="56" t="n">
        <v>22859.79</v>
      </c>
      <c r="H12" s="56">
        <f>'Custo de Serviços'!$E$41 + 'Custo de Serviços'!$E$72 + 'Custo de Serviços'!$E$102 + 'Custo de Serviços'!$E$133 + 'Custo de Serviços'!$E$162</f>
        <v/>
      </c>
      <c r="I12" s="56">
        <f>'Custo de Serviços'!$E$48 + 'Custo de Serviços'!$E$79 + 'Custo de Serviços'!$E$109 + 'Custo de Serviços'!$E$140 + 'Custo de Serviços'!$E$169</f>
        <v/>
      </c>
      <c r="J12" s="56">
        <f>I12-G12</f>
        <v/>
      </c>
    </row>
    <row r="13" ht="20.1" customHeight="1" s="102"/>
    <row r="14" ht="20.1" customHeight="1" s="102">
      <c r="B14" s="64" t="inlineStr">
        <is>
          <t>2. Detalhamento de Custos e Lógica de Formação de Preço por Pacote</t>
        </is>
      </c>
    </row>
    <row r="15" ht="20.1" customHeight="1" s="102"/>
    <row r="16" ht="20.1" customHeight="1" s="102">
      <c r="B16" s="103" t="inlineStr">
        <is>
          <t>Pacote JUNIOR</t>
        </is>
      </c>
    </row>
    <row r="17" ht="27.95" customHeight="1" s="102">
      <c r="B17" s="61" t="inlineStr">
        <is>
          <t>Item de Custo</t>
        </is>
      </c>
      <c r="C17" s="61" t="inlineStr">
        <is>
          <t>Unidade</t>
        </is>
      </c>
      <c r="D17" s="61" t="inlineStr">
        <is>
          <t>Custo Unitário</t>
        </is>
      </c>
      <c r="E17" s="61" t="inlineStr">
        <is>
          <t>Custo Consolidado</t>
        </is>
      </c>
      <c r="F17" s="61" t="inlineStr">
        <is>
          <t>Racional / Origem</t>
        </is>
      </c>
    </row>
    <row r="18" ht="20.1" customHeight="1" s="102">
      <c r="B18" s="18" t="inlineStr">
        <is>
          <t>Custos Administrativos - franquia</t>
        </is>
      </c>
      <c r="C18" s="57" t="n">
        <v>1</v>
      </c>
      <c r="D18" s="58">
        <f>'Referencias de Custos'!$D$34</f>
        <v/>
      </c>
      <c r="E18" s="58">
        <f>C18*D18</f>
        <v/>
      </c>
      <c r="F18" s="18" t="inlineStr">
        <is>
          <t>Custo administrativo diluído por cliente</t>
        </is>
      </c>
    </row>
    <row r="19" ht="20.1" customHeight="1" s="102">
      <c r="B19" s="18" t="inlineStr">
        <is>
          <t>BPlen HUB - franquia</t>
        </is>
      </c>
      <c r="C19" s="57" t="n">
        <v>1</v>
      </c>
      <c r="D19" s="58">
        <f>'Referencias de Custos'!$D$32</f>
        <v/>
      </c>
      <c r="E19" s="58">
        <f>C19*D19</f>
        <v/>
      </c>
      <c r="F19" s="18" t="inlineStr">
        <is>
          <t>Custo de desenvolvimento do portal diluído</t>
        </is>
      </c>
    </row>
    <row r="20" ht="20.1" customHeight="1" s="102">
      <c r="B20" s="18" t="inlineStr">
        <is>
          <t>Posicionamento de Carreira e-book - franquia</t>
        </is>
      </c>
      <c r="C20" s="57" t="n">
        <v>1</v>
      </c>
      <c r="D20" s="58">
        <f>'Referencias de Custos'!D31</f>
        <v/>
      </c>
      <c r="E20" s="58">
        <f>C20*D20</f>
        <v/>
      </c>
      <c r="F20" s="73" t="inlineStr">
        <is>
          <t>Material pedagógico para condução de orientação educacional sobre Posicionamento de Carreira.</t>
        </is>
      </c>
    </row>
    <row r="21" ht="20.1" customHeight="1" s="102">
      <c r="B21" s="18" t="inlineStr">
        <is>
          <t>Honorário (Sessões)</t>
        </is>
      </c>
      <c r="C21" s="57" t="n">
        <v>90</v>
      </c>
      <c r="D21" s="58">
        <f>'Referencias de Custos'!$D$2</f>
        <v/>
      </c>
      <c r="E21" s="58">
        <f>C21*D21</f>
        <v/>
      </c>
      <c r="F21" s="18" t="inlineStr">
        <is>
          <t>Posicionamento de Carreira: 1 to 1 (30min), Devolutiva (60min)</t>
        </is>
      </c>
    </row>
    <row r="22" ht="20.1" customHeight="1" s="102">
      <c r="B22" s="59" t="inlineStr">
        <is>
          <t>Subtotal Bruto (Custo Base)</t>
        </is>
      </c>
      <c r="C22" s="59" t="n"/>
      <c r="D22" s="59" t="n"/>
      <c r="E22" s="60">
        <f>SUM(E18:E21)</f>
        <v/>
      </c>
      <c r="F22" s="59" t="n"/>
    </row>
    <row r="23" ht="20.1" customHeight="1" s="102">
      <c r="B23" s="41" t="inlineStr">
        <is>
          <t>Margem de Lucro BPlen (20%)</t>
        </is>
      </c>
      <c r="C23" s="41" t="n"/>
      <c r="D23" s="41" t="n"/>
      <c r="E23" s="58">
        <f>E22*'Custo de Serviços'!$D$1</f>
        <v/>
      </c>
      <c r="F23" s="41" t="n"/>
    </row>
    <row r="24" ht="20.1" customHeight="1" s="102">
      <c r="B24" s="59" t="inlineStr">
        <is>
          <t>Subtotal + Margem</t>
        </is>
      </c>
      <c r="C24" s="59" t="n"/>
      <c r="D24" s="59" t="n"/>
      <c r="E24" s="60">
        <f>E22+E23</f>
        <v/>
      </c>
      <c r="F24" s="59" t="n"/>
    </row>
    <row r="25" ht="20.1" customHeight="1" s="102">
      <c r="B25" s="41" t="inlineStr">
        <is>
          <t>Taxa Checkout Cartão (5% - Margem MP)</t>
        </is>
      </c>
      <c r="C25" s="41" t="n"/>
      <c r="D25" s="41" t="n"/>
      <c r="E25" s="58">
        <f>E24*'Custo de Serviços'!$D$39</f>
        <v/>
      </c>
      <c r="F25" s="41" t="n"/>
    </row>
    <row r="26" ht="20.1" customHeight="1" s="102">
      <c r="B26" s="41" t="inlineStr">
        <is>
          <t>Impostos sobre Venda (8%)</t>
        </is>
      </c>
      <c r="C26" s="41" t="n"/>
      <c r="D26" s="41" t="n"/>
      <c r="E26" s="58">
        <f>(E24+E25)*'Custo de Serviços'!$D$40</f>
        <v/>
      </c>
      <c r="F26" s="41" t="n"/>
    </row>
    <row r="27" ht="20.1" customHeight="1" s="102">
      <c r="B27" s="25" t="inlineStr">
        <is>
          <t>Total Consolidado (Cartão)</t>
        </is>
      </c>
      <c r="C27" s="25" t="n"/>
      <c r="D27" s="25" t="n"/>
      <c r="E27" s="31">
        <f>SUM(E24:E26)</f>
        <v/>
      </c>
      <c r="F27" s="25" t="n"/>
    </row>
    <row r="28" ht="20.1" customHeight="1" s="102">
      <c r="B28" s="41" t="inlineStr">
        <is>
          <t>Taxa Checkout PIX (1% - MP)</t>
        </is>
      </c>
      <c r="C28" s="41" t="n"/>
      <c r="D28" s="41" t="n"/>
      <c r="E28" s="58">
        <f>E24*'Custo de Serviços'!$D$46</f>
        <v/>
      </c>
      <c r="F28" s="41" t="n"/>
    </row>
    <row r="29" ht="20.1" customHeight="1" s="102">
      <c r="B29" s="41" t="inlineStr">
        <is>
          <t>Impostos sobre Venda PIX (8%)</t>
        </is>
      </c>
      <c r="C29" s="41" t="n"/>
      <c r="D29" s="41" t="n"/>
      <c r="E29" s="58">
        <f>(E24+E28)*'Custo de Serviços'!$D$47</f>
        <v/>
      </c>
      <c r="F29" s="41" t="n"/>
    </row>
    <row r="30" ht="20.1" customHeight="1" s="102">
      <c r="B30" s="25" t="inlineStr">
        <is>
          <t>Total Consolidado (PIX)</t>
        </is>
      </c>
      <c r="C30" s="25" t="n">
        <v>5</v>
      </c>
      <c r="D30" s="25" t="n"/>
      <c r="E30" s="31">
        <f>SUM(E24,E28:E29)</f>
        <v/>
      </c>
      <c r="F30" s="25" t="n"/>
    </row>
    <row r="31" ht="20.1" customHeight="1" s="102"/>
    <row r="32" ht="20.1" customHeight="1" s="102">
      <c r="B32" s="103" t="inlineStr">
        <is>
          <t>Pacote PLENO</t>
        </is>
      </c>
    </row>
    <row r="33" ht="27.95" customHeight="1" s="102">
      <c r="B33" s="61" t="inlineStr">
        <is>
          <t>Item de Custo</t>
        </is>
      </c>
      <c r="C33" s="61" t="inlineStr">
        <is>
          <t>Unidade</t>
        </is>
      </c>
      <c r="D33" s="61" t="inlineStr">
        <is>
          <t>Custo Unitário</t>
        </is>
      </c>
      <c r="E33" s="61" t="inlineStr">
        <is>
          <t>Custo Consolidado</t>
        </is>
      </c>
      <c r="F33" s="61" t="inlineStr">
        <is>
          <t>Racional / Origem</t>
        </is>
      </c>
    </row>
    <row r="34" ht="20.1" customHeight="1" s="102">
      <c r="B34" s="18" t="inlineStr">
        <is>
          <t>Custos Administrativos - franquia</t>
        </is>
      </c>
      <c r="C34" s="57" t="n">
        <v>1</v>
      </c>
      <c r="D34" s="58">
        <f>'Referencias de Custos'!$D$34</f>
        <v/>
      </c>
      <c r="E34" s="58">
        <f>C34*D34</f>
        <v/>
      </c>
      <c r="F34" s="18" t="inlineStr">
        <is>
          <t>Cobrado apenas uma vez por cliente (DEDUPLICADO)</t>
        </is>
      </c>
    </row>
    <row r="35" ht="20.1" customHeight="1" s="102">
      <c r="B35" s="18" t="inlineStr">
        <is>
          <t>BPlen HUB - franquia</t>
        </is>
      </c>
      <c r="C35" s="57" t="n">
        <v>1</v>
      </c>
      <c r="D35" s="58">
        <f>'Referencias de Custos'!$D$32</f>
        <v/>
      </c>
      <c r="E35" s="58">
        <f>C35*D35</f>
        <v/>
      </c>
      <c r="F35" s="18" t="inlineStr">
        <is>
          <t>Cobrado apenas uma vez por cliente (DEDUPLICADO)</t>
        </is>
      </c>
    </row>
    <row r="36" ht="20.1" customHeight="1" s="102">
      <c r="B36" s="18" t="inlineStr">
        <is>
          <t>Posicionamento de Carreira e-book - franquia</t>
        </is>
      </c>
      <c r="C36" s="57" t="n">
        <v>1</v>
      </c>
      <c r="D36" s="58">
        <f>'Referencias de Custos'!D31</f>
        <v/>
      </c>
      <c r="E36" s="58">
        <f>C36*D36</f>
        <v/>
      </c>
      <c r="F36" s="73" t="inlineStr">
        <is>
          <t>Material pedagógico para condução de orientação educacional sobre Posicionamento de Carreira.</t>
        </is>
      </c>
    </row>
    <row r="37" ht="20.1" customHeight="1" s="102">
      <c r="B37" s="18" t="inlineStr">
        <is>
          <t>Área Membro</t>
        </is>
      </c>
      <c r="C37" s="57" t="n">
        <v>1</v>
      </c>
      <c r="D37" s="58">
        <f>'Referencias de Custos'!$D$5</f>
        <v/>
      </c>
      <c r="E37" s="58">
        <f>C37*D37</f>
        <v/>
      </c>
      <c r="F37" s="18" t="inlineStr">
        <is>
          <t>Acesso unificado à Área do Membro</t>
        </is>
      </c>
    </row>
    <row r="38" ht="20.1" customHeight="1" s="102">
      <c r="B38" s="18" t="inlineStr">
        <is>
          <t>Relatório DISC</t>
        </is>
      </c>
      <c r="C38" s="57" t="n">
        <v>1</v>
      </c>
      <c r="D38" s="58">
        <f>'Referencias de Custos'!$D$13</f>
        <v/>
      </c>
      <c r="E38" s="58">
        <f>C38*D38</f>
        <v/>
      </c>
      <c r="F38" s="18" t="inlineStr">
        <is>
          <t>Relatório com resultados da avaliação DISC</t>
        </is>
      </c>
    </row>
    <row r="39" ht="20.1" customHeight="1" s="102">
      <c r="B39" s="18" t="inlineStr">
        <is>
          <t>Relatório de Análise Comportamental</t>
        </is>
      </c>
      <c r="C39" s="57" t="n">
        <v>1</v>
      </c>
      <c r="D39" s="58">
        <f>'Referencias de Custos'!D14</f>
        <v/>
      </c>
      <c r="E39" s="58">
        <f>C39*D39</f>
        <v/>
      </c>
      <c r="F39" s="73" t="inlineStr">
        <is>
          <t>Relatório da análise e insights do analista referente aos assessments comportamentais cruzados com contexto situacionais do cliente.</t>
        </is>
      </c>
    </row>
    <row r="40" ht="20.1" customHeight="1" s="102">
      <c r="B40" s="18" t="inlineStr">
        <is>
          <t>Honorário (Sessões)</t>
        </is>
      </c>
      <c r="C40" s="57">
        <f>90+120</f>
        <v/>
      </c>
      <c r="D40" s="58">
        <f>'Referencias de Custos'!$D$2</f>
        <v/>
      </c>
      <c r="E40" s="58">
        <f>C40*D40</f>
        <v/>
      </c>
      <c r="F40" s="18" t="inlineStr">
        <is>
          <t>PC: 90min + AC: 120min (Total: 210 minutos)</t>
        </is>
      </c>
    </row>
    <row r="41" ht="20.1" customHeight="1" s="102">
      <c r="B41" s="18" t="inlineStr">
        <is>
          <t>Honorário - Franquia (Onboarding/Offboarding)</t>
        </is>
      </c>
      <c r="C41" s="57" t="n">
        <v>2</v>
      </c>
      <c r="D41" s="58">
        <f>'Referencias de Custos'!$D$30</f>
        <v/>
      </c>
      <c r="E41" s="58">
        <f>C41*D41</f>
        <v/>
      </c>
      <c r="F41" s="18" t="inlineStr">
        <is>
          <t>1x Onboarding (35.00) + 1x Offboarding (35.00)</t>
        </is>
      </c>
    </row>
    <row r="42" ht="20.1" customHeight="1" s="102">
      <c r="B42" s="59" t="inlineStr">
        <is>
          <t>Subtotal Bruto (Custo Base)</t>
        </is>
      </c>
      <c r="C42" s="59" t="n"/>
      <c r="D42" s="59" t="n"/>
      <c r="E42" s="60">
        <f>SUM(E34:E41)</f>
        <v/>
      </c>
      <c r="F42" s="59" t="n"/>
    </row>
    <row r="43" ht="20.1" customHeight="1" s="102">
      <c r="B43" s="41" t="inlineStr">
        <is>
          <t>Margem de Lucro BPlen (20%)</t>
        </is>
      </c>
      <c r="C43" s="41" t="n"/>
      <c r="D43" s="41" t="n"/>
      <c r="E43" s="58">
        <f>E42*'Custo de Serviços'!$D$1</f>
        <v/>
      </c>
      <c r="F43" s="41" t="n"/>
    </row>
    <row r="44" ht="20.1" customHeight="1" s="102">
      <c r="B44" s="59" t="inlineStr">
        <is>
          <t>Subtotal + Margem</t>
        </is>
      </c>
      <c r="C44" s="59" t="n"/>
      <c r="D44" s="59" t="n"/>
      <c r="E44" s="60">
        <f>E42+E43</f>
        <v/>
      </c>
      <c r="F44" s="59" t="n"/>
    </row>
    <row r="45" ht="20.1" customHeight="1" s="102">
      <c r="B45" s="41" t="inlineStr">
        <is>
          <t>Taxa Checkout Cartão (5%)</t>
        </is>
      </c>
      <c r="C45" s="41" t="n"/>
      <c r="D45" s="41" t="n"/>
      <c r="E45" s="58">
        <f>E44*'Custo de Serviços'!$D$39</f>
        <v/>
      </c>
      <c r="F45" s="41" t="n"/>
    </row>
    <row r="46" ht="20.1" customHeight="1" s="102">
      <c r="B46" s="41" t="inlineStr">
        <is>
          <t>Impostos sobre Venda (8%)</t>
        </is>
      </c>
      <c r="C46" s="41" t="n"/>
      <c r="D46" s="41" t="n"/>
      <c r="E46" s="58">
        <f>(E44+E45)*'Custo de Serviços'!$D$40</f>
        <v/>
      </c>
      <c r="F46" s="41" t="n"/>
    </row>
    <row r="47" ht="20.1" customHeight="1" s="102">
      <c r="B47" s="25" t="inlineStr">
        <is>
          <t>Total Consolidado (Cartão)</t>
        </is>
      </c>
      <c r="C47" s="25" t="n"/>
      <c r="D47" s="25" t="n"/>
      <c r="E47" s="31">
        <f>SUM(E44:E46)</f>
        <v/>
      </c>
      <c r="F47" s="25" t="n"/>
    </row>
    <row r="48" ht="20.1" customHeight="1" s="102">
      <c r="B48" s="41" t="inlineStr">
        <is>
          <t>Taxa Checkout PIX (1%)</t>
        </is>
      </c>
      <c r="C48" s="41" t="n"/>
      <c r="D48" s="41" t="n"/>
      <c r="E48" s="58">
        <f>E44*'Custo de Serviços'!$D$46</f>
        <v/>
      </c>
      <c r="F48" s="41" t="n"/>
    </row>
    <row r="49" ht="20.1" customHeight="1" s="102">
      <c r="B49" s="41" t="inlineStr">
        <is>
          <t>Impostos sobre Venda PIX (8%)</t>
        </is>
      </c>
      <c r="C49" s="41" t="n"/>
      <c r="D49" s="41" t="n"/>
      <c r="E49" s="58">
        <f>(E44+E48)*'Custo de Serviços'!$D$47</f>
        <v/>
      </c>
      <c r="F49" s="41" t="n"/>
    </row>
    <row r="50" ht="20.1" customHeight="1" s="102">
      <c r="B50" s="25" t="inlineStr">
        <is>
          <t>Total Consolidado (PIX)</t>
        </is>
      </c>
      <c r="C50" s="25" t="n"/>
      <c r="D50" s="25" t="n"/>
      <c r="E50" s="31">
        <f>SUM(E44,E48:E49)</f>
        <v/>
      </c>
      <c r="F50" s="25" t="n"/>
    </row>
    <row r="51" ht="20.1" customHeight="1" s="102">
      <c r="C51" t="n">
        <v>7</v>
      </c>
    </row>
    <row r="52" ht="20.1" customHeight="1" s="102"/>
    <row r="53" ht="20.1" customHeight="1" s="102">
      <c r="B53" s="103" t="inlineStr">
        <is>
          <t>Pacote SENIOR</t>
        </is>
      </c>
    </row>
    <row r="54" ht="27.95" customHeight="1" s="102">
      <c r="B54" s="61" t="inlineStr">
        <is>
          <t>Item de Custo</t>
        </is>
      </c>
      <c r="C54" s="61" t="inlineStr">
        <is>
          <t>Unidade</t>
        </is>
      </c>
      <c r="D54" s="61" t="inlineStr">
        <is>
          <t>Custo Unitário</t>
        </is>
      </c>
      <c r="E54" s="61" t="inlineStr">
        <is>
          <t>Custo Consolidado</t>
        </is>
      </c>
      <c r="F54" s="61" t="inlineStr">
        <is>
          <t>Racional / Origem</t>
        </is>
      </c>
    </row>
    <row r="55" ht="20.1" customHeight="1" s="102">
      <c r="B55" s="18" t="inlineStr">
        <is>
          <t>Custos Administrativos - franquia</t>
        </is>
      </c>
      <c r="C55" s="57" t="n">
        <v>1</v>
      </c>
      <c r="D55" s="58">
        <f>'Referencias de Custos'!$D$34</f>
        <v/>
      </c>
      <c r="E55" s="58">
        <f>C55*D55</f>
        <v/>
      </c>
      <c r="F55" s="18" t="inlineStr">
        <is>
          <t>Cobrado apenas uma vez por cliente (DEDUPLICADO)</t>
        </is>
      </c>
    </row>
    <row r="56" ht="20.1" customHeight="1" s="102">
      <c r="B56" s="18" t="inlineStr">
        <is>
          <t>BPlen HUB - franquia</t>
        </is>
      </c>
      <c r="C56" s="57" t="n">
        <v>1</v>
      </c>
      <c r="D56" s="58">
        <f>'Referencias de Custos'!$D$32</f>
        <v/>
      </c>
      <c r="E56" s="58">
        <f>C56*D56</f>
        <v/>
      </c>
      <c r="F56" s="18" t="inlineStr">
        <is>
          <t>Cobrado apenas uma vez por cliente (DEDUPLICADO)</t>
        </is>
      </c>
    </row>
    <row r="57" ht="20.1" customHeight="1" s="102">
      <c r="B57" s="18" t="inlineStr">
        <is>
          <t>Posicionamento de Carreira e-book - franquia</t>
        </is>
      </c>
      <c r="C57" s="57" t="n">
        <v>1</v>
      </c>
      <c r="D57" s="58">
        <f>'Referencias de Custos'!D31</f>
        <v/>
      </c>
      <c r="E57" s="58">
        <f>C57*D57</f>
        <v/>
      </c>
      <c r="F57" s="73" t="inlineStr">
        <is>
          <t>Material pedagógico para condução de orientação educacional sobre Posicionamento de Carreira.</t>
        </is>
      </c>
    </row>
    <row r="58" ht="20.1" customHeight="1" s="102">
      <c r="B58" s="18" t="inlineStr">
        <is>
          <t>Área Membro</t>
        </is>
      </c>
      <c r="C58" s="57" t="n">
        <v>1</v>
      </c>
      <c r="D58" s="58">
        <f>'Referencias de Custos'!$D$5</f>
        <v/>
      </c>
      <c r="E58" s="58">
        <f>C58*D58</f>
        <v/>
      </c>
      <c r="F58" s="18" t="inlineStr">
        <is>
          <t>Acesso unificado à Área do Membro (DEDUPLICADO)</t>
        </is>
      </c>
    </row>
    <row r="59" ht="20.1" customHeight="1" s="102">
      <c r="B59" s="18" t="inlineStr">
        <is>
          <t>Relatório DISC</t>
        </is>
      </c>
      <c r="C59" s="57" t="n">
        <v>1</v>
      </c>
      <c r="D59" s="58">
        <f>'Referencias de Custos'!$D$13</f>
        <v/>
      </c>
      <c r="E59" s="58">
        <f>C59*D59</f>
        <v/>
      </c>
      <c r="F59" s="18" t="inlineStr">
        <is>
          <t>Relatório com resultados da avaliação DISC</t>
        </is>
      </c>
    </row>
    <row r="60" ht="20.1" customHeight="1" s="102">
      <c r="B60" s="18" t="inlineStr">
        <is>
          <t>Relatório de Análise Comportamental</t>
        </is>
      </c>
      <c r="C60" s="57" t="n">
        <v>1</v>
      </c>
      <c r="D60" s="58">
        <f>'Referencias de Custos'!D14</f>
        <v/>
      </c>
      <c r="E60" s="58">
        <f>C60*D60</f>
        <v/>
      </c>
      <c r="F60" s="73" t="inlineStr">
        <is>
          <t>Relatório da análise e insights do analista referente aos assessments comportamentais cruzados com contexto situacionais do cliente.</t>
        </is>
      </c>
    </row>
    <row r="61" ht="20.1" customHeight="1" s="102">
      <c r="B61" s="18" t="inlineStr">
        <is>
          <t>Relatório PDI</t>
        </is>
      </c>
      <c r="C61" s="57" t="n">
        <v>1</v>
      </c>
      <c r="D61" s="58">
        <f>'Custo de Serviços'!$E$91</f>
        <v/>
      </c>
      <c r="E61" s="58">
        <f>C61*D61</f>
        <v/>
      </c>
      <c r="F61" s="18" t="inlineStr">
        <is>
          <t>Relatório do Plano de Desenvolvimento Individual (PDI)</t>
        </is>
      </c>
    </row>
    <row r="62" ht="20.1" customHeight="1" s="102">
      <c r="B62" s="18" t="inlineStr">
        <is>
          <t>Honorário (Sessões)</t>
        </is>
      </c>
      <c r="C62" s="57">
        <f>90+120+180</f>
        <v/>
      </c>
      <c r="D62" s="58">
        <f>'Referencias de Custos'!$D$2</f>
        <v/>
      </c>
      <c r="E62" s="58">
        <f>C62*D62</f>
        <v/>
      </c>
      <c r="F62" s="18" t="inlineStr">
        <is>
          <t>PC: 90min + AC: 120min + Plano: 180min (Total: 390 minutos)</t>
        </is>
      </c>
    </row>
    <row r="63" ht="20.1" customHeight="1" s="102">
      <c r="B63" s="18" t="inlineStr">
        <is>
          <t>Honorário - Franquia (Onboarding/Offboarding)</t>
        </is>
      </c>
      <c r="C63" s="57" t="n">
        <v>2</v>
      </c>
      <c r="D63" s="58">
        <f>'Referencias de Custos'!$D$30</f>
        <v/>
      </c>
      <c r="E63" s="58">
        <f>C63*D63</f>
        <v/>
      </c>
      <c r="F63" s="18" t="inlineStr">
        <is>
          <t>1x Onboarding (35.00) + 1x Offboarding (35.00)</t>
        </is>
      </c>
    </row>
    <row r="64" ht="20.1" customHeight="1" s="102">
      <c r="B64" s="59" t="inlineStr">
        <is>
          <t>Subtotal Bruto (Custo Base)</t>
        </is>
      </c>
      <c r="C64" s="59" t="n"/>
      <c r="D64" s="59" t="n"/>
      <c r="E64" s="60">
        <f>SUM(E55:E63)</f>
        <v/>
      </c>
      <c r="F64" s="59" t="n"/>
    </row>
    <row r="65" ht="20.1" customHeight="1" s="102">
      <c r="B65" s="41" t="inlineStr">
        <is>
          <t>Margem de Lucro BPlen (20%)</t>
        </is>
      </c>
      <c r="C65" s="41" t="n"/>
      <c r="D65" s="41" t="n"/>
      <c r="E65" s="58">
        <f>E64*'Custo de Serviços'!$D$1</f>
        <v/>
      </c>
      <c r="F65" s="41" t="n"/>
    </row>
    <row r="66" ht="20.1" customHeight="1" s="102">
      <c r="B66" s="59" t="inlineStr">
        <is>
          <t>Subtotal + Margem</t>
        </is>
      </c>
      <c r="C66" s="59" t="n"/>
      <c r="D66" s="59" t="n"/>
      <c r="E66" s="60">
        <f>E64+E65</f>
        <v/>
      </c>
      <c r="F66" s="59" t="n"/>
    </row>
    <row r="67" ht="20.1" customHeight="1" s="102">
      <c r="B67" s="41" t="inlineStr">
        <is>
          <t>Taxa Checkout Cartão (5%)</t>
        </is>
      </c>
      <c r="C67" s="41" t="n"/>
      <c r="D67" s="41" t="n"/>
      <c r="E67" s="58">
        <f>E66*'Custo de Serviços'!$D$39</f>
        <v/>
      </c>
      <c r="F67" s="41" t="n"/>
    </row>
    <row r="68" ht="20.1" customHeight="1" s="102">
      <c r="B68" s="41" t="inlineStr">
        <is>
          <t>Impostos sobre Venda (8%)</t>
        </is>
      </c>
      <c r="C68" s="41" t="n"/>
      <c r="D68" s="41" t="n"/>
      <c r="E68" s="58">
        <f>(E66+E67)*'Custo de Serviços'!$D$40</f>
        <v/>
      </c>
      <c r="F68" s="41" t="n"/>
    </row>
    <row r="69" ht="20.1" customHeight="1" s="102">
      <c r="B69" s="25" t="inlineStr">
        <is>
          <t>Total Consolidado (Cartão)</t>
        </is>
      </c>
      <c r="C69" s="25" t="n"/>
      <c r="D69" s="25" t="n"/>
      <c r="E69" s="31">
        <f>SUM(E66:E68)</f>
        <v/>
      </c>
      <c r="F69" s="25" t="n"/>
    </row>
    <row r="70" ht="20.1" customHeight="1" s="102">
      <c r="B70" s="41" t="inlineStr">
        <is>
          <t>Taxa Checkout PIX (1%)</t>
        </is>
      </c>
      <c r="C70" s="41" t="n"/>
      <c r="D70" s="41" t="n"/>
      <c r="E70" s="58">
        <f>E66*'Custo de Serviços'!$D$46</f>
        <v/>
      </c>
      <c r="F70" s="41" t="n"/>
    </row>
    <row r="71" ht="20.1" customHeight="1" s="102">
      <c r="B71" s="41" t="inlineStr">
        <is>
          <t>Impostos sobre Venda PIX (8%)</t>
        </is>
      </c>
      <c r="C71" s="41" t="n"/>
      <c r="D71" s="41" t="n"/>
      <c r="E71" s="58">
        <f>(E66+E70)*'Custo de Serviços'!$D$47</f>
        <v/>
      </c>
      <c r="F71" s="41" t="n"/>
    </row>
    <row r="72" ht="20.1" customHeight="1" s="102">
      <c r="B72" s="25" t="inlineStr">
        <is>
          <t>Total Consolidado (PIX)</t>
        </is>
      </c>
      <c r="C72" s="25" t="n"/>
      <c r="D72" s="25" t="n"/>
      <c r="E72" s="31">
        <f>SUM(E66,E70:E71)</f>
        <v/>
      </c>
      <c r="F72" s="25" t="n"/>
    </row>
    <row r="73" ht="20.1" customHeight="1" s="102"/>
    <row r="74" ht="20.1" customHeight="1" s="102">
      <c r="C74" t="n">
        <v>10</v>
      </c>
    </row>
    <row r="75" ht="20.1" customHeight="1" s="102">
      <c r="B75" s="103" t="inlineStr">
        <is>
          <t>Pacote LIDER</t>
        </is>
      </c>
    </row>
    <row r="76" ht="27.95" customHeight="1" s="102">
      <c r="B76" s="61" t="inlineStr">
        <is>
          <t>Item de Custo</t>
        </is>
      </c>
      <c r="C76" s="61" t="inlineStr">
        <is>
          <t>Unidade</t>
        </is>
      </c>
      <c r="D76" s="61" t="inlineStr">
        <is>
          <t>Custo Unitário</t>
        </is>
      </c>
      <c r="E76" s="61" t="inlineStr">
        <is>
          <t>Custo Consolidado</t>
        </is>
      </c>
      <c r="F76" s="61" t="inlineStr">
        <is>
          <t>Racional / Origem</t>
        </is>
      </c>
    </row>
    <row r="77" ht="20.1" customHeight="1" s="102">
      <c r="B77" s="18" t="inlineStr">
        <is>
          <t>Custos Administrativos - franquia</t>
        </is>
      </c>
      <c r="C77" s="57" t="n">
        <v>1</v>
      </c>
      <c r="D77" s="58">
        <f>'Referencias de Custos'!$D$34</f>
        <v/>
      </c>
      <c r="E77" s="58">
        <f>C77*D77</f>
        <v/>
      </c>
      <c r="F77" s="18" t="inlineStr">
        <is>
          <t>Cobrado apenas uma vez por cliente (DEDUPLICADO)</t>
        </is>
      </c>
    </row>
    <row r="78" ht="20.1" customHeight="1" s="102">
      <c r="B78" s="18" t="inlineStr">
        <is>
          <t>BPlen HUB - franquia</t>
        </is>
      </c>
      <c r="C78" s="57" t="n">
        <v>1</v>
      </c>
      <c r="D78" s="58">
        <f>'Referencias de Custos'!$D$32</f>
        <v/>
      </c>
      <c r="E78" s="58">
        <f>C78*D78</f>
        <v/>
      </c>
      <c r="F78" s="18" t="inlineStr">
        <is>
          <t>Cobrado apenas uma vez por cliente (DEDUPLICADO)</t>
        </is>
      </c>
    </row>
    <row r="79" ht="20.1" customHeight="1" s="102">
      <c r="B79" s="18" t="inlineStr">
        <is>
          <t>Posicionamento de Carreira e-book - franquia</t>
        </is>
      </c>
      <c r="C79" s="57" t="n">
        <v>1</v>
      </c>
      <c r="D79" s="58">
        <f>'Referencias de Custos'!D31</f>
        <v/>
      </c>
      <c r="E79" s="58">
        <f>C79*D79</f>
        <v/>
      </c>
      <c r="F79" s="73" t="inlineStr">
        <is>
          <t>Material pedagógico para condução de orientação educacional sobre Posicionamento de Carreira.</t>
        </is>
      </c>
    </row>
    <row r="80" ht="20.1" customHeight="1" s="102">
      <c r="B80" s="18" t="inlineStr">
        <is>
          <t>Área Membro</t>
        </is>
      </c>
      <c r="C80" s="57" t="n">
        <v>1</v>
      </c>
      <c r="D80" s="58">
        <f>'Referencias de Custos'!$D$5</f>
        <v/>
      </c>
      <c r="E80" s="58">
        <f>C80*D80</f>
        <v/>
      </c>
      <c r="F80" s="18" t="inlineStr">
        <is>
          <t>Acesso unificado à Área do Membro (DEDUPLICADO)</t>
        </is>
      </c>
    </row>
    <row r="81" ht="20.1" customHeight="1" s="102">
      <c r="B81" s="18" t="inlineStr">
        <is>
          <t>Área Membro | GDC Dashboard</t>
        </is>
      </c>
      <c r="C81" s="57" t="n">
        <v>1</v>
      </c>
      <c r="D81" s="58">
        <f>'Referencias de Custos'!$D$6</f>
        <v/>
      </c>
      <c r="E81" s="58">
        <f>C81*D81</f>
        <v/>
      </c>
      <c r="F81" s="18" t="inlineStr">
        <is>
          <t>Acesso unificado à Área do Membro GDC</t>
        </is>
      </c>
    </row>
    <row r="82" ht="20.1" customHeight="1" s="102">
      <c r="B82" s="18" t="inlineStr">
        <is>
          <t>GDC e-book - franquia</t>
        </is>
      </c>
      <c r="C82" s="57" t="n">
        <v>1</v>
      </c>
      <c r="D82" s="58">
        <f>'Referencias de Custos'!$D$29</f>
        <v/>
      </c>
      <c r="E82" s="58">
        <f>C82*D82</f>
        <v/>
      </c>
      <c r="F82" s="18" t="inlineStr">
        <is>
          <t>Franquia do material didático pedagógico GDC</t>
        </is>
      </c>
    </row>
    <row r="83" ht="20.1" customHeight="1" s="102">
      <c r="B83" s="18" t="inlineStr">
        <is>
          <t>Relatório DISC</t>
        </is>
      </c>
      <c r="C83" s="57" t="n">
        <v>1</v>
      </c>
      <c r="D83" s="58">
        <f>'Referencias de Custos'!$D$13</f>
        <v/>
      </c>
      <c r="E83" s="58">
        <f>C83*D83</f>
        <v/>
      </c>
      <c r="F83" s="18" t="inlineStr">
        <is>
          <t>Relatório com resultados da avaliação DISC</t>
        </is>
      </c>
    </row>
    <row r="84" ht="20.1" customHeight="1" s="102">
      <c r="B84" s="18" t="inlineStr">
        <is>
          <t>Relatório de Análise Comportamental</t>
        </is>
      </c>
      <c r="C84" s="57" t="n">
        <v>1</v>
      </c>
      <c r="D84" s="58">
        <f>'Referencias de Custos'!D14</f>
        <v/>
      </c>
      <c r="E84" s="58">
        <f>C84*D84</f>
        <v/>
      </c>
      <c r="F84" s="73" t="inlineStr">
        <is>
          <t>Relatório da análise e insights do analista referente aos assessments comportamentais cruzados com contexto situacionais do cliente.</t>
        </is>
      </c>
    </row>
    <row r="85" ht="20.1" customHeight="1" s="102">
      <c r="B85" s="18" t="inlineStr">
        <is>
          <t>Relatório PDI</t>
        </is>
      </c>
      <c r="C85" s="57" t="n">
        <v>1</v>
      </c>
      <c r="D85" s="58">
        <f>'Custo de Serviços'!$E$91</f>
        <v/>
      </c>
      <c r="E85" s="58">
        <f>C85*D85</f>
        <v/>
      </c>
      <c r="F85" s="18" t="inlineStr">
        <is>
          <t>Relatório do Plano de Desenvolvimento Individual (PDI)</t>
        </is>
      </c>
    </row>
    <row r="86" ht="20.1" customHeight="1" s="102">
      <c r="B86" s="18" t="inlineStr">
        <is>
          <t>Honorário (Sessões)</t>
        </is>
      </c>
      <c r="C86" s="57">
        <f>90+120+180+1380</f>
        <v/>
      </c>
      <c r="D86" s="58">
        <f>'Referencias de Custos'!$D$2</f>
        <v/>
      </c>
      <c r="E86" s="58">
        <f>C86*D86</f>
        <v/>
      </c>
      <c r="F86" s="18" t="inlineStr">
        <is>
          <t>Sessions (PC, AC, Plano, GDC) (Total: 1770 minutos / 29.5 horas)</t>
        </is>
      </c>
    </row>
    <row r="87" ht="20.1" customHeight="1" s="102">
      <c r="B87" s="18" t="inlineStr">
        <is>
          <t>Honorário - Franquia (Onboarding/Offboarding)</t>
        </is>
      </c>
      <c r="C87" s="57" t="n">
        <v>2</v>
      </c>
      <c r="D87" s="58">
        <f>'Referencias de Custos'!$D$30</f>
        <v/>
      </c>
      <c r="E87" s="58">
        <f>C87*D87</f>
        <v/>
      </c>
      <c r="F87" s="18" t="inlineStr">
        <is>
          <t>1x Onboarding (35.00) + 1x Offboarding (35.00)</t>
        </is>
      </c>
    </row>
    <row r="88" ht="20.1" customHeight="1" s="102">
      <c r="B88" s="59" t="inlineStr">
        <is>
          <t>Subtotal Bruto (Custo Base)</t>
        </is>
      </c>
      <c r="C88" s="59" t="n"/>
      <c r="D88" s="59" t="n"/>
      <c r="E88" s="60">
        <f>SUM(E77:E87)</f>
        <v/>
      </c>
      <c r="F88" s="59" t="n"/>
    </row>
    <row r="89" ht="20.1" customHeight="1" s="102">
      <c r="B89" s="41" t="inlineStr">
        <is>
          <t>Margem de Lucro BPlen (20%)</t>
        </is>
      </c>
      <c r="C89" s="41" t="n"/>
      <c r="D89" s="41" t="n"/>
      <c r="E89" s="58">
        <f>E88*'Custo de Serviços'!$D$1</f>
        <v/>
      </c>
      <c r="F89" s="41" t="n"/>
    </row>
    <row r="90" ht="20.1" customHeight="1" s="102">
      <c r="B90" s="59" t="inlineStr">
        <is>
          <t>Subtotal + Margem</t>
        </is>
      </c>
      <c r="C90" s="59" t="n"/>
      <c r="D90" s="59" t="n"/>
      <c r="E90" s="60">
        <f>E88+E89</f>
        <v/>
      </c>
      <c r="F90" s="59" t="n"/>
    </row>
    <row r="91" ht="20.1" customHeight="1" s="102">
      <c r="B91" s="41" t="inlineStr">
        <is>
          <t>Taxa Checkout Cartão (5%)</t>
        </is>
      </c>
      <c r="C91" s="41" t="n"/>
      <c r="D91" s="41" t="n"/>
      <c r="E91" s="58">
        <f>E90*'Custo de Serviços'!$D$39</f>
        <v/>
      </c>
      <c r="F91" s="41" t="n"/>
    </row>
    <row r="92" ht="20.1" customHeight="1" s="102">
      <c r="B92" s="41" t="inlineStr">
        <is>
          <t>Impostos sobre Venda (8%)</t>
        </is>
      </c>
      <c r="C92" s="41" t="n"/>
      <c r="D92" s="41" t="n"/>
      <c r="E92" s="58">
        <f>(E90+E91)*'Custo de Serviços'!$D$40</f>
        <v/>
      </c>
      <c r="F92" s="41" t="n"/>
    </row>
    <row r="93" ht="20.1" customHeight="1" s="102">
      <c r="B93" s="25" t="inlineStr">
        <is>
          <t>Total Consolidado (Cartão)</t>
        </is>
      </c>
      <c r="C93" s="25" t="n"/>
      <c r="D93" s="25" t="n"/>
      <c r="E93" s="31">
        <f>SUM(E90:E92)</f>
        <v/>
      </c>
      <c r="F93" s="25" t="n"/>
    </row>
    <row r="94" ht="20.1" customHeight="1" s="102">
      <c r="B94" s="41" t="inlineStr">
        <is>
          <t>Taxa Checkout PIX (1%)</t>
        </is>
      </c>
      <c r="C94" s="41" t="n"/>
      <c r="D94" s="41" t="n"/>
      <c r="E94" s="58">
        <f>E90*'Custo de Serviços'!$D$46</f>
        <v/>
      </c>
      <c r="F94" s="41" t="n"/>
    </row>
    <row r="95" ht="20.1" customHeight="1" s="102">
      <c r="B95" s="41" t="inlineStr">
        <is>
          <t>Impostos sobre Venda PIX (8%)</t>
        </is>
      </c>
      <c r="C95" s="41" t="n"/>
      <c r="D95" s="41" t="n"/>
      <c r="E95" s="58">
        <f>(E90+E94)*'Custo de Serviços'!$D$47</f>
        <v/>
      </c>
      <c r="F95" s="41" t="n"/>
    </row>
    <row r="96" ht="20.1" customHeight="1" s="102">
      <c r="B96" s="25" t="inlineStr">
        <is>
          <t>Total Consolidado (PIX)</t>
        </is>
      </c>
      <c r="C96" s="25" t="n"/>
      <c r="D96" s="25" t="n"/>
      <c r="E96" s="31">
        <f>SUM(E90,E94:E95)</f>
        <v/>
      </c>
      <c r="F96" s="25" t="n"/>
    </row>
    <row r="97" ht="20.1" customHeight="1" s="102"/>
    <row r="98" ht="20.1" customHeight="1" s="102">
      <c r="B98" s="103" t="inlineStr">
        <is>
          <t>Pacote EMBAIXADOR BPLEN</t>
        </is>
      </c>
    </row>
    <row r="99" ht="27.95" customHeight="1" s="102">
      <c r="B99" s="61" t="inlineStr">
        <is>
          <t>Item de Custo</t>
        </is>
      </c>
      <c r="C99" s="61" t="n">
        <v>12</v>
      </c>
      <c r="D99" s="61" t="inlineStr">
        <is>
          <t>Custo Unitário</t>
        </is>
      </c>
      <c r="E99" s="61" t="inlineStr">
        <is>
          <t>Custo Consolidado</t>
        </is>
      </c>
      <c r="F99" s="61" t="inlineStr">
        <is>
          <t>Racional / Origem</t>
        </is>
      </c>
    </row>
    <row r="100" ht="20.1" customHeight="1" s="102">
      <c r="B100" s="18" t="inlineStr">
        <is>
          <t>Custos Administrativos - franquia</t>
        </is>
      </c>
      <c r="C100" s="57" t="n">
        <v>1</v>
      </c>
      <c r="D100" s="58">
        <f>'Referencias de Custos'!$D$34</f>
        <v/>
      </c>
      <c r="E100" s="58">
        <f>C100*D100</f>
        <v/>
      </c>
      <c r="F100" s="18" t="inlineStr">
        <is>
          <t>Cobrado apenas uma vez por cliente (DEDUPLICADO)</t>
        </is>
      </c>
    </row>
    <row r="101" ht="20.1" customHeight="1" s="102">
      <c r="B101" s="18" t="inlineStr">
        <is>
          <t>BPlen HUB - franquia</t>
        </is>
      </c>
      <c r="C101" s="57" t="n">
        <v>1</v>
      </c>
      <c r="D101" s="58">
        <f>'Referencias de Custos'!$D$32</f>
        <v/>
      </c>
      <c r="E101" s="58">
        <f>C101*D101</f>
        <v/>
      </c>
      <c r="F101" s="18" t="inlineStr">
        <is>
          <t>Cobrado apenas uma vez por cliente (DEDUPLICADO)</t>
        </is>
      </c>
    </row>
    <row r="102" ht="20.1" customHeight="1" s="102">
      <c r="B102" s="18" t="inlineStr">
        <is>
          <t>Posicionamento de Carreira e-book - franquia</t>
        </is>
      </c>
      <c r="C102" s="57" t="n">
        <v>1</v>
      </c>
      <c r="D102" s="58">
        <f>'Referencias de Custos'!D31</f>
        <v/>
      </c>
      <c r="E102" s="58">
        <f>C102*D102</f>
        <v/>
      </c>
      <c r="F102" s="73" t="inlineStr">
        <is>
          <t>Material pedagógico para condução de orientação educacional sobre Posicionamento de Carreira.</t>
        </is>
      </c>
    </row>
    <row r="103" ht="20.1" customHeight="1" s="102">
      <c r="B103" s="18" t="inlineStr">
        <is>
          <t>Área Membro</t>
        </is>
      </c>
      <c r="C103" s="57" t="n">
        <v>1</v>
      </c>
      <c r="D103" s="58">
        <f>'Referencias de Custos'!$D$5</f>
        <v/>
      </c>
      <c r="E103" s="58">
        <f>C103*D103</f>
        <v/>
      </c>
      <c r="F103" s="18" t="inlineStr">
        <is>
          <t>Acesso unificado à Área do Membro (DEDUPLICADO)</t>
        </is>
      </c>
    </row>
    <row r="104" ht="20.1" customHeight="1" s="102">
      <c r="B104" s="18" t="inlineStr">
        <is>
          <t>Área Membro | GDC Dashboard</t>
        </is>
      </c>
      <c r="C104" s="57" t="n">
        <v>1</v>
      </c>
      <c r="D104" s="58">
        <f>'Referencias de Custos'!$D$6</f>
        <v/>
      </c>
      <c r="E104" s="58">
        <f>C104*D104</f>
        <v/>
      </c>
      <c r="F104" s="18" t="inlineStr">
        <is>
          <t>Acesso unificado à Área do Membro GDC</t>
        </is>
      </c>
    </row>
    <row r="105" ht="20.1" customHeight="1" s="102">
      <c r="B105" s="18" t="inlineStr">
        <is>
          <t>Área Membro | MentoCoach Dashboard</t>
        </is>
      </c>
      <c r="C105" s="57" t="n">
        <v>1</v>
      </c>
      <c r="D105" s="58">
        <f>'Custo de Serviços'!E153</f>
        <v/>
      </c>
      <c r="E105" s="58">
        <f>C105*D105</f>
        <v/>
      </c>
      <c r="F105" s="18" t="inlineStr">
        <is>
          <t>Acesso unificado à Área MentoCoach</t>
        </is>
      </c>
    </row>
    <row r="106" ht="20.1" customHeight="1" s="102">
      <c r="B106" s="18" t="inlineStr">
        <is>
          <t>GDC e-book - franquia</t>
        </is>
      </c>
      <c r="C106" s="57" t="n">
        <v>1</v>
      </c>
      <c r="D106" s="58">
        <f>'Referencias de Custos'!$D$29</f>
        <v/>
      </c>
      <c r="E106" s="58">
        <f>C106*D106</f>
        <v/>
      </c>
      <c r="F106" s="18" t="inlineStr">
        <is>
          <t>Franquia do material didático pedagógico GDC</t>
        </is>
      </c>
    </row>
    <row r="107" ht="20.1" customHeight="1" s="102">
      <c r="B107" s="18" t="inlineStr">
        <is>
          <t>Relatório DISC</t>
        </is>
      </c>
      <c r="C107" s="57" t="n">
        <v>1</v>
      </c>
      <c r="D107" s="58">
        <f>'Referencias de Custos'!$D$13</f>
        <v/>
      </c>
      <c r="E107" s="58">
        <f>C107*D107</f>
        <v/>
      </c>
      <c r="F107" s="18" t="inlineStr">
        <is>
          <t>DEDUPLICADO com Coaching e Mentoria (cobrado apenas 1x)</t>
        </is>
      </c>
    </row>
    <row r="108" ht="20.1" customHeight="1" s="102">
      <c r="B108" s="18" t="inlineStr">
        <is>
          <t>Relatório de Análise Comportamental</t>
        </is>
      </c>
      <c r="C108" s="57" t="n">
        <v>1</v>
      </c>
      <c r="D108" s="58">
        <f>'Referencias de Custos'!D14</f>
        <v/>
      </c>
      <c r="E108" s="58">
        <f>C108*D108</f>
        <v/>
      </c>
      <c r="F108" s="73" t="inlineStr">
        <is>
          <t>Relatório da análise e insights do analista referente aos assessments comportamentais cruzados com contexto situacionais do cliente.</t>
        </is>
      </c>
    </row>
    <row r="109" ht="20.1" customHeight="1" s="102">
      <c r="B109" s="18" t="inlineStr">
        <is>
          <t>Relatório PDI</t>
        </is>
      </c>
      <c r="C109" s="57" t="n">
        <v>1</v>
      </c>
      <c r="D109" s="58">
        <f>'Custo de Serviços'!$E$91</f>
        <v/>
      </c>
      <c r="E109" s="58">
        <f>C109*D109</f>
        <v/>
      </c>
      <c r="F109" s="18" t="inlineStr">
        <is>
          <t>Relatório do Plano de Desenvolvimento Individual (PDI)</t>
        </is>
      </c>
    </row>
    <row r="110" ht="20.1" customHeight="1" s="102">
      <c r="B110" s="18" t="inlineStr">
        <is>
          <t>Honorário (Sessões)</t>
        </is>
      </c>
      <c r="C110" s="57" t="n">
        <v>2790</v>
      </c>
      <c r="D110" s="58">
        <f>'Referencias de Custos'!$D$2</f>
        <v/>
      </c>
      <c r="E110" s="58">
        <f>C110*D110</f>
        <v/>
      </c>
      <c r="F110" s="18" t="inlineStr">
        <is>
          <t>Sessions (PC, AC, Plano, GDC, Coaching) (Total: 2790 min / 46.5 horas)</t>
        </is>
      </c>
    </row>
    <row r="111" ht="20.1" customHeight="1" s="102">
      <c r="B111" s="18" t="inlineStr">
        <is>
          <t>Honorário - Franquia (Onboarding/Offboarding)</t>
        </is>
      </c>
      <c r="C111" s="57" t="n">
        <v>2</v>
      </c>
      <c r="D111" s="58">
        <f>'Referencias de Custos'!$D$30</f>
        <v/>
      </c>
      <c r="E111" s="58">
        <f>C111*D111</f>
        <v/>
      </c>
      <c r="F111" s="18" t="inlineStr">
        <is>
          <t>1x Onboarding (35.00) + 1x Offboarding (35.00)</t>
        </is>
      </c>
    </row>
    <row r="112" ht="20.1" customHeight="1" s="102">
      <c r="B112" s="59" t="inlineStr">
        <is>
          <t>Subtotal Bruto (Custo Base)</t>
        </is>
      </c>
      <c r="C112" s="59" t="n"/>
      <c r="D112" s="59" t="n"/>
      <c r="E112" s="60">
        <f>SUM(E100:E111)</f>
        <v/>
      </c>
      <c r="F112" s="59" t="n"/>
    </row>
    <row r="113" ht="20.1" customHeight="1" s="102">
      <c r="B113" s="41" t="inlineStr">
        <is>
          <t>Margem de Lucro BPlen (20%)</t>
        </is>
      </c>
      <c r="C113" s="41" t="n"/>
      <c r="D113" s="41" t="n"/>
      <c r="E113" s="58">
        <f>E112*'Custo de Serviços'!$D$1</f>
        <v/>
      </c>
      <c r="F113" s="41" t="n"/>
    </row>
    <row r="114" ht="20.1" customHeight="1" s="102">
      <c r="B114" s="59" t="inlineStr">
        <is>
          <t>Subtotal + Margem</t>
        </is>
      </c>
      <c r="C114" s="59" t="n"/>
      <c r="D114" s="59" t="n"/>
      <c r="E114" s="60">
        <f>E112+E113</f>
        <v/>
      </c>
      <c r="F114" s="59" t="n"/>
    </row>
    <row r="115" ht="20.1" customHeight="1" s="102">
      <c r="B115" s="41" t="inlineStr">
        <is>
          <t>Taxa Checkout Cartão (5%)</t>
        </is>
      </c>
      <c r="C115" s="41" t="n"/>
      <c r="D115" s="41" t="n"/>
      <c r="E115" s="58">
        <f>E114*'Custo de Serviços'!$D$39</f>
        <v/>
      </c>
      <c r="F115" s="41" t="n"/>
    </row>
    <row r="116" ht="20.1" customHeight="1" s="102">
      <c r="B116" s="41" t="inlineStr">
        <is>
          <t>Impostos sobre Venda (8%)</t>
        </is>
      </c>
      <c r="C116" s="41" t="n"/>
      <c r="D116" s="41" t="n"/>
      <c r="E116" s="58">
        <f>(E114+E115)*'Custo de Serviços'!$D$40</f>
        <v/>
      </c>
      <c r="F116" s="41" t="n"/>
    </row>
    <row r="117" ht="20.1" customHeight="1" s="102">
      <c r="B117" s="25" t="inlineStr">
        <is>
          <t>Total Consolidado (Cartão)</t>
        </is>
      </c>
      <c r="C117" s="25" t="n"/>
      <c r="D117" s="25" t="n"/>
      <c r="E117" s="31">
        <f>SUM(E114:E116)</f>
        <v/>
      </c>
      <c r="F117" s="25" t="n"/>
    </row>
    <row r="118" ht="20.1" customHeight="1" s="102">
      <c r="B118" s="41" t="inlineStr">
        <is>
          <t>Taxa Checkout PIX (1%)</t>
        </is>
      </c>
      <c r="C118" s="41" t="n"/>
      <c r="D118" s="41" t="n"/>
      <c r="E118" s="58">
        <f>E114*'Custo de Serviços'!$D$46</f>
        <v/>
      </c>
      <c r="F118" s="41" t="n"/>
    </row>
    <row r="119" ht="20.1" customHeight="1" s="102">
      <c r="B119" s="41" t="inlineStr">
        <is>
          <t>Impostos sobre Venda PIX (8%)</t>
        </is>
      </c>
      <c r="C119" s="41" t="n"/>
      <c r="D119" s="41" t="n"/>
      <c r="E119" s="58">
        <f>(E114+E118)*'Custo de Serviços'!$D$47</f>
        <v/>
      </c>
      <c r="F119" s="41" t="n"/>
    </row>
    <row r="120" ht="20.1" customHeight="1" s="102">
      <c r="B120" s="25" t="inlineStr">
        <is>
          <t>Total Consolidado (PIX)</t>
        </is>
      </c>
      <c r="C120" s="25" t="n"/>
      <c r="D120" s="25" t="n"/>
      <c r="E120" s="31">
        <f>SUM(E114,E118:E119)</f>
        <v/>
      </c>
      <c r="F120" s="25" t="n"/>
    </row>
    <row r="124">
      <c r="C124" t="n">
        <v>12</v>
      </c>
    </row>
  </sheetData>
  <mergeCells count="5">
    <mergeCell ref="B53:F53"/>
    <mergeCell ref="B75:F75"/>
    <mergeCell ref="B16:F16"/>
    <mergeCell ref="B98:F98"/>
    <mergeCell ref="B32:F3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31"/>
  <sheetViews>
    <sheetView tabSelected="1" workbookViewId="0">
      <selection activeCell="E4" sqref="E4"/>
    </sheetView>
  </sheetViews>
  <sheetFormatPr baseColWidth="8" defaultRowHeight="12.75"/>
  <cols>
    <col width="3.375" customWidth="1" style="74" min="1" max="1"/>
    <col width="35.875" customWidth="1" style="74" min="2" max="2"/>
    <col width="55.25" customWidth="1" style="74" min="3" max="3"/>
    <col width="41" customWidth="1" style="74" min="4" max="5"/>
    <col width="48.5" customWidth="1" style="74" min="6" max="6"/>
    <col width="62" customWidth="1" style="74" min="7" max="7"/>
    <col width="9" customWidth="1" style="74" min="8" max="16384"/>
  </cols>
  <sheetData>
    <row r="1" ht="20.1" customHeight="1" s="102"/>
    <row r="2" ht="20.1" customHeight="1" s="102">
      <c r="D2" s="75" t="inlineStr">
        <is>
          <t>BPlen HUB</t>
        </is>
      </c>
    </row>
    <row r="3" ht="20.1" customHeight="1" s="102">
      <c r="D3" s="76" t="inlineStr">
        <is>
          <t>Plano Estratégico de Metas Comerciais &amp; Amortização de Custos (24 Meses)</t>
        </is>
      </c>
    </row>
    <row r="4" ht="20.1" customHeight="1" s="102"/>
    <row r="5" ht="20.1" customHeight="1" s="102"/>
    <row r="6" ht="20.1" customHeight="1" s="102">
      <c r="B6" s="75" t="inlineStr">
        <is>
          <t>1. Resumo das Franquias de Custos Fixos (Investimentos a Amortizar)</t>
        </is>
      </c>
    </row>
    <row r="7" ht="27.95" customHeight="1" s="102">
      <c r="B7" s="61" t="inlineStr">
        <is>
          <t>Franquia / Custo</t>
        </is>
      </c>
      <c r="C7" s="61" t="inlineStr">
        <is>
          <t>Descrição do Custo Relacionado</t>
        </is>
      </c>
      <c r="D7" s="61" t="inlineStr">
        <is>
          <t>Custo Total Investido</t>
        </is>
      </c>
      <c r="E7" s="61" t="inlineStr">
        <is>
          <t>Meta de Clientes para Diluição</t>
        </is>
      </c>
      <c r="F7" s="61" t="inlineStr">
        <is>
          <t>Valor Diluído Aplicado por Cliente</t>
        </is>
      </c>
    </row>
    <row r="8" ht="20.1" customHeight="1" s="102">
      <c r="B8" s="77" t="inlineStr">
        <is>
          <t>BPlen HUB (CapEx Portal)</t>
        </is>
      </c>
      <c r="C8" s="78" t="inlineStr">
        <is>
          <t>Desenvolvimento do ecossistema e área logada do portal BPlen HUB</t>
        </is>
      </c>
      <c r="D8" s="79">
        <f>'BPlen HUB Custos'!$C$25</f>
        <v/>
      </c>
      <c r="E8" s="80" t="n">
        <v>1000</v>
      </c>
      <c r="F8" s="79">
        <f>D8/E8</f>
        <v/>
      </c>
    </row>
    <row r="9" ht="20.1" customHeight="1" s="102">
      <c r="B9" s="81" t="inlineStr">
        <is>
          <t>MentoCoach (Metodologia)</t>
        </is>
      </c>
      <c r="C9" s="82" t="inlineStr">
        <is>
          <t>Metodologia, licença e assessments Coaching IBC</t>
        </is>
      </c>
      <c r="D9" s="83">
        <f>'MentoCoach Custos'!$B$5</f>
        <v/>
      </c>
      <c r="E9" s="84" t="n">
        <v>20</v>
      </c>
      <c r="F9" s="83">
        <f>D9/E9</f>
        <v/>
      </c>
    </row>
    <row r="10" ht="20.1" customHeight="1" s="102">
      <c r="B10" s="77" t="inlineStr">
        <is>
          <t>GDC e-book (Pedagógico)</t>
        </is>
      </c>
      <c r="C10" s="78" t="inlineStr">
        <is>
          <t>Material didático pedagógico de Gestão e Desenvolvimento de Carreira</t>
        </is>
      </c>
      <c r="D10" s="79">
        <f>'Referencias de Custos'!$C$25</f>
        <v/>
      </c>
      <c r="E10" s="80" t="n">
        <v>25</v>
      </c>
      <c r="F10" s="79">
        <f>D10/E10</f>
        <v/>
      </c>
    </row>
    <row r="11" ht="20.1" customHeight="1" s="102">
      <c r="B11" s="77" t="inlineStr">
        <is>
          <t>Posicionamento de Carreira e-book</t>
        </is>
      </c>
      <c r="C11" s="78" t="inlineStr">
        <is>
          <t>Material didático pedagógico de Posicionamento de Carreira</t>
        </is>
      </c>
      <c r="D11" s="79">
        <f>'Referencias de Custos'!D26</f>
        <v/>
      </c>
      <c r="E11" s="80" t="n">
        <v>25</v>
      </c>
      <c r="F11" s="79">
        <f>D11/E11</f>
        <v/>
      </c>
    </row>
    <row r="12" ht="20.1" customHeight="1" s="102">
      <c r="B12" s="81" t="inlineStr">
        <is>
          <t>Custos Administrativos</t>
        </is>
      </c>
      <c r="C12" s="82" t="inlineStr">
        <is>
          <t>Despesas operacionais e administrativas gerais (Anual)</t>
        </is>
      </c>
      <c r="D12" s="83">
        <f>'Custos gerais'!$C$4</f>
        <v/>
      </c>
      <c r="E12" s="84" t="n">
        <v>300</v>
      </c>
      <c r="F12" s="83">
        <f>D12/E12</f>
        <v/>
      </c>
    </row>
    <row r="13" ht="20.1" customHeight="1" s="102">
      <c r="B13" s="85" t="inlineStr">
        <is>
          <t>TOTAL DE INVESTIMENTOS EM FRANQUIAS</t>
        </is>
      </c>
      <c r="C13" s="86" t="n"/>
      <c r="D13" s="87">
        <f>SUM(D8:D12)</f>
        <v/>
      </c>
      <c r="E13" s="86" t="n"/>
      <c r="F13" s="86" t="n"/>
    </row>
    <row r="14" ht="20.1" customHeight="1" s="102"/>
    <row r="15" ht="20.1" customHeight="1" s="102"/>
    <row r="16" ht="20.1" customHeight="1" s="102">
      <c r="B16" s="75" t="inlineStr">
        <is>
          <t>2. Cronograma Sugerido de Metas e Amortização em Fases</t>
        </is>
      </c>
    </row>
    <row r="17" ht="27.95" customHeight="1" s="102">
      <c r="B17" s="61" t="inlineStr">
        <is>
          <t>Fase Estratégica</t>
        </is>
      </c>
      <c r="C17" s="61" t="inlineStr">
        <is>
          <t>Período (Meses)</t>
        </is>
      </c>
      <c r="D17" s="61" t="inlineStr">
        <is>
          <t>Meta Acumulada de Clientes</t>
        </is>
      </c>
      <c r="E17" s="61" t="inlineStr">
        <is>
          <t>Ritmo de Vendas (Clientes/Mês)</t>
        </is>
      </c>
      <c r="F17" s="61" t="inlineStr">
        <is>
          <t>Custos Fixos Amortizados no Período</t>
        </is>
      </c>
      <c r="G17" s="61" t="inlineStr">
        <is>
          <t>Foco Comercial / Pacotes Sugeridos</t>
        </is>
      </c>
    </row>
    <row r="18" ht="20.1" customHeight="1" s="102">
      <c r="B18" s="77" t="inlineStr">
        <is>
          <t>Fase 1: Curto Prazo (Startup)</t>
        </is>
      </c>
      <c r="C18" s="88" t="inlineStr">
        <is>
          <t>1 a 3</t>
        </is>
      </c>
      <c r="D18" s="80" t="n">
        <v>25</v>
      </c>
      <c r="E18" s="89">
        <f>E18/3</f>
        <v/>
      </c>
      <c r="F18" s="78" t="inlineStr">
        <is>
          <t>Amortização de MentoCoach (20) &amp; GDC e-book (25)</t>
        </is>
      </c>
      <c r="G18" s="78" t="inlineStr">
        <is>
          <t>Foco em Pacotes Pleno e Senior (Validação comercial)</t>
        </is>
      </c>
    </row>
    <row r="19" ht="20.1" customHeight="1" s="102">
      <c r="B19" s="81" t="inlineStr">
        <is>
          <t>Fase 2: Médio Prazo (Breakeven)</t>
        </is>
      </c>
      <c r="C19" s="90" t="inlineStr">
        <is>
          <t>4 a 12</t>
        </is>
      </c>
      <c r="D19" s="84" t="n">
        <v>300</v>
      </c>
      <c r="E19" s="91">
        <f>(E19-E18)/9</f>
        <v/>
      </c>
      <c r="F19" s="82" t="inlineStr">
        <is>
          <t>Amortização do Custo Administrativo Anual (R$ 24k / 300)</t>
        </is>
      </c>
      <c r="G19" s="82" t="inlineStr">
        <is>
          <t>Foco em Pacotes Senior, Lider e Introdução de Recorrência</t>
        </is>
      </c>
    </row>
    <row r="20" ht="20.1" customHeight="1" s="102">
      <c r="B20" s="77" t="inlineStr">
        <is>
          <t>Fase 3: Longo Prazo (Expansão)</t>
        </is>
      </c>
      <c r="C20" s="88" t="inlineStr">
        <is>
          <t>13 a 24</t>
        </is>
      </c>
      <c r="D20" s="80" t="n">
        <v>1000</v>
      </c>
      <c r="E20" s="89">
        <f>(E20-E19)/12</f>
        <v/>
      </c>
      <c r="F20" s="78" t="inlineStr">
        <is>
          <t>Amortização do Desenvolvimento BPlen HUB (R$ 29k / 1000)</t>
        </is>
      </c>
      <c r="G20" s="78" t="inlineStr">
        <is>
          <t>Foco em Lider, Embaixador BPlen e Franquias para Parceiros</t>
        </is>
      </c>
    </row>
    <row r="21" ht="20.1" customHeight="1" s="102">
      <c r="B21" s="85" t="inlineStr">
        <is>
          <t>TOTAL GERAL DO PLANO (2 ANOS)</t>
        </is>
      </c>
      <c r="C21" s="92" t="inlineStr">
        <is>
          <t>24 Meses</t>
        </is>
      </c>
      <c r="D21" s="93">
        <f>E20</f>
        <v/>
      </c>
      <c r="E21" s="94">
        <f>E21/24</f>
        <v/>
      </c>
      <c r="F21" s="85" t="inlineStr">
        <is>
          <t>100% de Amortização Concluída!</t>
        </is>
      </c>
      <c r="G21" s="86" t="n"/>
    </row>
    <row r="22" ht="20.1" customHeight="1" s="102"/>
    <row r="23" ht="20.1" customHeight="1" s="102"/>
    <row r="24" ht="20.1" customHeight="1" s="102">
      <c r="B24" s="75" t="inlineStr">
        <is>
          <t>3. Simulador de Viabilidade e Projeção de Faturamento Bruto (Meta 1000 Clientes)</t>
        </is>
      </c>
    </row>
    <row r="25" ht="27.95" customHeight="1" s="102">
      <c r="B25" s="61" t="inlineStr">
        <is>
          <t>Pacote de Serviço</t>
        </is>
      </c>
      <c r="C25" s="61" t="inlineStr">
        <is>
          <t>Preço Sugerido (Venda PIX)</t>
        </is>
      </c>
      <c r="D25" s="61" t="inlineStr">
        <is>
          <t>Mix de Vendas Estimado (%)</t>
        </is>
      </c>
      <c r="E25" s="61" t="inlineStr">
        <is>
          <t>Volume de Vendas (Fase 1-3)</t>
        </is>
      </c>
      <c r="F25" s="61" t="inlineStr">
        <is>
          <t>Projeção de Faturamento Bruto</t>
        </is>
      </c>
    </row>
    <row r="26" ht="20.1" customHeight="1" s="102">
      <c r="B26" s="77" t="inlineStr">
        <is>
          <t>Junior</t>
        </is>
      </c>
      <c r="C26" s="95">
        <f>'Pacotes de Serviço'!$G$8</f>
        <v/>
      </c>
      <c r="D26" s="96" t="n">
        <v>0.1</v>
      </c>
      <c r="E26" s="80">
        <f>D26*$E$31</f>
        <v/>
      </c>
      <c r="F26" s="95">
        <f>C26*E26</f>
        <v/>
      </c>
    </row>
    <row r="27" ht="20.1" customHeight="1" s="102">
      <c r="B27" s="81" t="inlineStr">
        <is>
          <t>Pleno</t>
        </is>
      </c>
      <c r="C27" s="97">
        <f>'Pacotes de Serviço'!$G$9</f>
        <v/>
      </c>
      <c r="D27" s="98" t="n">
        <v>0.3</v>
      </c>
      <c r="E27" s="84">
        <f>D27*$E$31</f>
        <v/>
      </c>
      <c r="F27" s="97">
        <f>C27*E27</f>
        <v/>
      </c>
    </row>
    <row r="28" ht="20.1" customHeight="1" s="102">
      <c r="B28" s="77" t="inlineStr">
        <is>
          <t>Senior</t>
        </is>
      </c>
      <c r="C28" s="95">
        <f>'Pacotes de Serviço'!$G$10</f>
        <v/>
      </c>
      <c r="D28" s="96" t="n">
        <v>0.35</v>
      </c>
      <c r="E28" s="80">
        <f>D28*$E$31</f>
        <v/>
      </c>
      <c r="F28" s="95">
        <f>C28*E28</f>
        <v/>
      </c>
    </row>
    <row r="29" ht="20.1" customHeight="1" s="102">
      <c r="B29" s="81" t="inlineStr">
        <is>
          <t>Lider</t>
        </is>
      </c>
      <c r="C29" s="97">
        <f>'Pacotes de Serviço'!$G$11</f>
        <v/>
      </c>
      <c r="D29" s="98" t="n">
        <v>0.2</v>
      </c>
      <c r="E29" s="84">
        <f>D29*$E$31</f>
        <v/>
      </c>
      <c r="F29" s="97">
        <f>C29*E29</f>
        <v/>
      </c>
    </row>
    <row r="30" ht="20.1" customHeight="1" s="102">
      <c r="B30" s="77" t="inlineStr">
        <is>
          <t>Embaixador BPlen</t>
        </is>
      </c>
      <c r="C30" s="95">
        <f>'Pacotes de Serviço'!$G$12</f>
        <v/>
      </c>
      <c r="D30" s="96" t="n">
        <v>0.05</v>
      </c>
      <c r="E30" s="80">
        <f>D30*$E$31</f>
        <v/>
      </c>
      <c r="F30" s="95">
        <f>C30*E30</f>
        <v/>
      </c>
    </row>
    <row r="31" ht="20.1" customHeight="1" s="102">
      <c r="B31" s="85" t="inlineStr">
        <is>
          <t>TOTAL PROJETADO / TARGET GERAL</t>
        </is>
      </c>
      <c r="C31" s="86" t="n"/>
      <c r="D31" s="99">
        <f>SUM(D26:D30)</f>
        <v/>
      </c>
      <c r="E31" s="93">
        <f>E21</f>
        <v/>
      </c>
      <c r="F31" s="100">
        <f>SUM(F26:F30)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ServiceCode</t>
        </is>
      </c>
      <c r="B1" t="inlineStr">
        <is>
          <t>Order</t>
        </is>
      </c>
    </row>
    <row r="2">
      <c r="A2" t="inlineStr">
        <is>
          <t>BPL-000</t>
        </is>
      </c>
      <c r="B2" t="n">
        <v>1</v>
      </c>
    </row>
    <row r="3">
      <c r="A3" t="inlineStr">
        <is>
          <t>BPL-001</t>
        </is>
      </c>
      <c r="B3" t="n">
        <v>2</v>
      </c>
    </row>
    <row r="4">
      <c r="A4" t="inlineStr">
        <is>
          <t>BPL-002</t>
        </is>
      </c>
      <c r="B4" t="n">
        <v>3</v>
      </c>
    </row>
    <row r="5">
      <c r="A5" t="inlineStr">
        <is>
          <t>BPL-003</t>
        </is>
      </c>
      <c r="B5" t="n">
        <v>4</v>
      </c>
    </row>
    <row r="6">
      <c r="A6" t="inlineStr">
        <is>
          <t>BPL-004</t>
        </is>
      </c>
      <c r="B6" t="n">
        <v>5</v>
      </c>
    </row>
    <row r="7">
      <c r="A7" t="inlineStr">
        <is>
          <t>BPL-005</t>
        </is>
      </c>
      <c r="B7" t="n">
        <v>6</v>
      </c>
    </row>
    <row r="8">
      <c r="A8" t="inlineStr">
        <is>
          <t>BPL-006</t>
        </is>
      </c>
      <c r="B8" t="n">
        <v>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ServiceCode</t>
        </is>
      </c>
      <c r="B1" t="inlineStr">
        <is>
          <t>CheckpointId</t>
        </is>
      </c>
      <c r="C1" t="inlineStr">
        <is>
          <t>Order</t>
        </is>
      </c>
      <c r="D1" t="inlineStr">
        <is>
          <t>Title</t>
        </is>
      </c>
      <c r="E1" t="inlineStr">
        <is>
          <t>Type</t>
        </is>
      </c>
      <c r="F1" t="inlineStr">
        <is>
          <t>ReferenceId</t>
        </is>
      </c>
      <c r="G1" t="inlineStr">
        <is>
          <t>Description</t>
        </is>
      </c>
    </row>
    <row r="2">
      <c r="A2" t="inlineStr">
        <is>
          <t>BPL-000</t>
        </is>
      </c>
      <c r="B2" t="inlineStr">
        <is>
          <t>introducao</t>
        </is>
      </c>
      <c r="C2" t="n">
        <v>1</v>
      </c>
      <c r="D2" t="inlineStr">
        <is>
          <t>Introdução</t>
        </is>
      </c>
      <c r="E2" t="inlineStr">
        <is>
          <t>content</t>
        </is>
      </c>
      <c r="F2" t="inlineStr">
        <is>
          <t>welcome_video_01</t>
        </is>
      </c>
      <c r="G2" t="inlineStr">
        <is>
          <t>Conheça a visão da BPlen</t>
        </is>
      </c>
    </row>
    <row r="3">
      <c r="A3" t="inlineStr">
        <is>
          <t>BPL-000</t>
        </is>
      </c>
      <c r="B3" t="inlineStr">
        <is>
          <t>check_in_survey</t>
        </is>
      </c>
      <c r="C3" t="n">
        <v>2</v>
      </c>
      <c r="D3" t="inlineStr">
        <is>
          <t>Check-in</t>
        </is>
      </c>
      <c r="E3" t="inlineStr">
        <is>
          <t>survey</t>
        </is>
      </c>
      <c r="F3" t="inlineStr">
        <is>
          <t>check_in</t>
        </is>
      </c>
      <c r="G3" t="inlineStr">
        <is>
          <t>Demandas e estado atual da jornada</t>
        </is>
      </c>
    </row>
    <row r="4">
      <c r="A4" t="inlineStr">
        <is>
          <t>BPL-000</t>
        </is>
      </c>
      <c r="B4" t="inlineStr">
        <is>
          <t>sessao_onboarding</t>
        </is>
      </c>
      <c r="C4" t="n">
        <v>3</v>
      </c>
      <c r="D4" t="inlineStr">
        <is>
          <t>Sessão de Onboarding</t>
        </is>
      </c>
      <c r="E4" t="inlineStr">
        <is>
          <t>meeting</t>
        </is>
      </c>
      <c r="F4" t="inlineStr">
        <is>
          <t>onboarding</t>
        </is>
      </c>
      <c r="G4" t="inlineStr">
        <is>
          <t>Agende sua sessão de onboarding individual.</t>
        </is>
      </c>
    </row>
    <row r="5">
      <c r="A5" t="inlineStr">
        <is>
          <t>BPL-001</t>
        </is>
      </c>
      <c r="B5" t="inlineStr">
        <is>
          <t>perfil-profissional</t>
        </is>
      </c>
      <c r="C5" t="n">
        <v>1</v>
      </c>
      <c r="D5" t="inlineStr">
        <is>
          <t>Perfil Profissional</t>
        </is>
      </c>
      <c r="E5" t="inlineStr">
        <is>
          <t>form</t>
        </is>
      </c>
      <c r="F5" t="inlineStr">
        <is>
          <t>perfil_profissional</t>
        </is>
      </c>
      <c r="G5" t="inlineStr">
        <is>
          <t>Preenchimento do Perfil Profissional para estruturação do posicionamento.</t>
        </is>
      </c>
    </row>
    <row r="6">
      <c r="A6" t="inlineStr">
        <is>
          <t>BPL-001</t>
        </is>
      </c>
      <c r="B6" t="inlineStr">
        <is>
          <t>agendar-orientacao</t>
        </is>
      </c>
      <c r="C6" t="n">
        <v>2</v>
      </c>
      <c r="D6" t="inlineStr">
        <is>
          <t>Agendar Orientação Individual</t>
        </is>
      </c>
      <c r="E6" t="inlineStr">
        <is>
          <t>meeting</t>
        </is>
      </c>
      <c r="F6" t="inlineStr">
        <is>
          <t>orientacao-individual-posicionamento</t>
        </is>
      </c>
      <c r="G6" t="inlineStr">
        <is>
          <t>Sessão individual com orientador especialista de 1h.</t>
        </is>
      </c>
    </row>
    <row r="7">
      <c r="A7" t="inlineStr">
        <is>
          <t>BPL-002</t>
        </is>
      </c>
      <c r="B7" t="inlineStr">
        <is>
          <t>realizar-disc</t>
        </is>
      </c>
      <c r="C7" t="n">
        <v>1</v>
      </c>
      <c r="D7" t="inlineStr">
        <is>
          <t>Responder Questionário DISC</t>
        </is>
      </c>
      <c r="E7" t="inlineStr">
        <is>
          <t>survey</t>
        </is>
      </c>
      <c r="F7" t="inlineStr">
        <is>
          <t>disc</t>
        </is>
      </c>
      <c r="G7" t="inlineStr">
        <is>
          <t>Formulário psicométrico oficial.</t>
        </is>
      </c>
    </row>
    <row r="8">
      <c r="A8" t="inlineStr">
        <is>
          <t>BPL-002</t>
        </is>
      </c>
      <c r="B8" t="inlineStr">
        <is>
          <t>agendar-devolutiva</t>
        </is>
      </c>
      <c r="C8" t="n">
        <v>2</v>
      </c>
      <c r="D8" t="inlineStr">
        <is>
          <t>Agendar Devolutiva Individual</t>
        </is>
      </c>
      <c r="E8" t="inlineStr">
        <is>
          <t>meeting</t>
        </is>
      </c>
      <c r="F8" t="inlineStr">
        <is>
          <t>devolutiva-analise-comportamental</t>
        </is>
      </c>
      <c r="G8" t="inlineStr">
        <is>
          <t>Sessão com orientador especialista de 1h.</t>
        </is>
      </c>
    </row>
    <row r="9">
      <c r="A9" t="inlineStr">
        <is>
          <t>BPL-003</t>
        </is>
      </c>
      <c r="B9" t="inlineStr">
        <is>
          <t>plano-carreira-form</t>
        </is>
      </c>
      <c r="C9" t="n">
        <v>1</v>
      </c>
      <c r="D9" t="inlineStr">
        <is>
          <t>Plano de Carreira</t>
        </is>
      </c>
      <c r="E9" t="inlineStr">
        <is>
          <t>form</t>
        </is>
      </c>
      <c r="F9" t="inlineStr">
        <is>
          <t>plano_carreira</t>
        </is>
      </c>
      <c r="G9" t="inlineStr">
        <is>
          <t>Preenchimento do formulário do Plano de Carreira.</t>
        </is>
      </c>
    </row>
    <row r="10">
      <c r="A10" t="inlineStr">
        <is>
          <t>BPL-003</t>
        </is>
      </c>
      <c r="B10" t="inlineStr">
        <is>
          <t>agendar-devolutiva-plano</t>
        </is>
      </c>
      <c r="C10" t="n">
        <v>2</v>
      </c>
      <c r="D10" t="inlineStr">
        <is>
          <t>Agendar Devolutiva do Plano</t>
        </is>
      </c>
      <c r="E10" t="inlineStr">
        <is>
          <t>meeting</t>
        </is>
      </c>
      <c r="F10" t="inlineStr">
        <is>
          <t>devolutiva-plano-carreira</t>
        </is>
      </c>
      <c r="G10" t="inlineStr">
        <is>
          <t>Sessão de entrega do Plano de Carreira.</t>
        </is>
      </c>
    </row>
    <row r="11">
      <c r="A11" t="inlineStr">
        <is>
          <t>BPL-004</t>
        </is>
      </c>
      <c r="B11" t="inlineStr">
        <is>
          <t>gdc-form</t>
        </is>
      </c>
      <c r="C11" t="n">
        <v>1</v>
      </c>
      <c r="D11" t="inlineStr">
        <is>
          <t>Gestão de Carreira</t>
        </is>
      </c>
      <c r="E11" t="inlineStr">
        <is>
          <t>form</t>
        </is>
      </c>
      <c r="F11" t="inlineStr">
        <is>
          <t>gdc</t>
        </is>
      </c>
      <c r="G11" t="inlineStr">
        <is>
          <t>Formulário de acompanhamento GDC.</t>
        </is>
      </c>
    </row>
    <row r="12">
      <c r="A12" t="inlineStr">
        <is>
          <t>BPL-004</t>
        </is>
      </c>
      <c r="B12" t="inlineStr">
        <is>
          <t>agendar-mentorias</t>
        </is>
      </c>
      <c r="C12" t="n">
        <v>2</v>
      </c>
      <c r="D12" t="inlineStr">
        <is>
          <t>Agendar Mentorias</t>
        </is>
      </c>
      <c r="E12" t="inlineStr">
        <is>
          <t>meeting</t>
        </is>
      </c>
      <c r="F12" t="inlineStr">
        <is>
          <t>gdc-mentorias</t>
        </is>
      </c>
      <c r="G12" t="inlineStr">
        <is>
          <t>Agendamento de sessões periódicas de mentoria.</t>
        </is>
      </c>
    </row>
    <row r="13">
      <c r="A13" t="inlineStr">
        <is>
          <t>BPL-005</t>
        </is>
      </c>
      <c r="B13" t="inlineStr">
        <is>
          <t>mentocoach-form</t>
        </is>
      </c>
      <c r="C13" t="n">
        <v>1</v>
      </c>
      <c r="D13" t="inlineStr">
        <is>
          <t>Acompanhamento MentoCoach</t>
        </is>
      </c>
      <c r="E13" t="inlineStr">
        <is>
          <t>form</t>
        </is>
      </c>
      <c r="F13" t="inlineStr">
        <is>
          <t>mentocoach</t>
        </is>
      </c>
      <c r="G13" t="inlineStr">
        <is>
          <t>Formulário de autoavaliação MentoCoach.</t>
        </is>
      </c>
    </row>
    <row r="14">
      <c r="A14" t="inlineStr">
        <is>
          <t>BPL-005</t>
        </is>
      </c>
      <c r="B14" t="inlineStr">
        <is>
          <t>agendar-sessoes</t>
        </is>
      </c>
      <c r="C14" t="n">
        <v>2</v>
      </c>
      <c r="D14" t="inlineStr">
        <is>
          <t>Agendar Sessões de Coaching</t>
        </is>
      </c>
      <c r="E14" t="inlineStr">
        <is>
          <t>meeting</t>
        </is>
      </c>
      <c r="F14" t="inlineStr">
        <is>
          <t>mentocoach-sessoes</t>
        </is>
      </c>
      <c r="G14" t="inlineStr">
        <is>
          <t>Agendamento das sessões individuais de coaching de alta performance.</t>
        </is>
      </c>
    </row>
    <row r="15">
      <c r="A15" t="inlineStr">
        <is>
          <t>BPL-006</t>
        </is>
      </c>
      <c r="B15" t="inlineStr">
        <is>
          <t>offboarding-survey</t>
        </is>
      </c>
      <c r="C15" t="n">
        <v>1</v>
      </c>
      <c r="D15" t="inlineStr">
        <is>
          <t>Avaliação Final</t>
        </is>
      </c>
      <c r="E15" t="inlineStr">
        <is>
          <t>survey</t>
        </is>
      </c>
      <c r="F15" t="inlineStr">
        <is>
          <t>offboarding_survey</t>
        </is>
      </c>
      <c r="G15" t="inlineStr">
        <is>
          <t>Pesquisa de encerramento e consolidação de resultados.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Lisandra Lencinna</dc:creator>
  <dcterms:created xmlns:dcterms="http://purl.org/dc/terms/" xmlns:xsi="http://www.w3.org/2001/XMLSchema-instance" xsi:type="dcterms:W3CDTF">2026-06-18T16:01:41Z</dcterms:created>
  <dcterms:modified xmlns:dcterms="http://purl.org/dc/terms/" xmlns:xsi="http://www.w3.org/2001/XMLSchema-instance" xsi:type="dcterms:W3CDTF">2026-06-21T05:10:26Z</dcterms:modified>
  <cp:lastModifiedBy>Lisandra Lencinna</cp:lastModifiedBy>
</cp:coreProperties>
</file>